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dand\Downloads\"/>
    </mc:Choice>
  </mc:AlternateContent>
  <xr:revisionPtr revIDLastSave="0" documentId="8_{93E915FC-D231-4D0A-9941-F1A3FE768560}" xr6:coauthVersionLast="47" xr6:coauthVersionMax="47" xr10:uidLastSave="{00000000-0000-0000-0000-000000000000}"/>
  <bookViews>
    <workbookView xWindow="-108" yWindow="-108" windowWidth="23256" windowHeight="12456" xr2:uid="{0C934391-A921-44B2-B4AB-79EE309BBEE6}"/>
  </bookViews>
  <sheets>
    <sheet name="Loan Calculator" sheetId="1" r:id="rId1"/>
    <sheet name="calc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E4" i="2"/>
  <c r="D3" i="2"/>
  <c r="D4" i="2" s="1"/>
  <c r="F4" i="2" l="1"/>
  <c r="J8" i="2" l="1"/>
  <c r="I8" i="2"/>
  <c r="D13" i="1"/>
  <c r="D19" i="1"/>
  <c r="D25" i="1"/>
  <c r="D31" i="1"/>
  <c r="D37" i="1"/>
  <c r="D43" i="1"/>
  <c r="D49" i="1"/>
  <c r="D55" i="1"/>
  <c r="D61" i="1"/>
  <c r="D67" i="1"/>
  <c r="D73" i="1"/>
  <c r="D79" i="1"/>
  <c r="D85" i="1"/>
  <c r="D91" i="1"/>
  <c r="D97" i="1"/>
  <c r="D103" i="1"/>
  <c r="D109" i="1"/>
  <c r="D115" i="1"/>
  <c r="D121" i="1"/>
  <c r="D127" i="1"/>
  <c r="D133" i="1"/>
  <c r="D139" i="1"/>
  <c r="D145" i="1"/>
  <c r="D151" i="1"/>
  <c r="D157" i="1"/>
  <c r="D163" i="1"/>
  <c r="D169" i="1"/>
  <c r="D175" i="1"/>
  <c r="D181" i="1"/>
  <c r="D187" i="1"/>
  <c r="D193" i="1"/>
  <c r="D199" i="1"/>
  <c r="D205" i="1"/>
  <c r="D211" i="1"/>
  <c r="D217" i="1"/>
  <c r="D223" i="1"/>
  <c r="D229" i="1"/>
  <c r="D235" i="1"/>
  <c r="D241" i="1"/>
  <c r="D247" i="1"/>
  <c r="D253" i="1"/>
  <c r="D259" i="1"/>
  <c r="D265" i="1"/>
  <c r="D271" i="1"/>
  <c r="D277" i="1"/>
  <c r="D283" i="1"/>
  <c r="D289" i="1"/>
  <c r="D295" i="1"/>
  <c r="D301" i="1"/>
  <c r="D307" i="1"/>
  <c r="D313" i="1"/>
  <c r="D319" i="1"/>
  <c r="D325" i="1"/>
  <c r="D331" i="1"/>
  <c r="D337" i="1"/>
  <c r="D343" i="1"/>
  <c r="D349" i="1"/>
  <c r="D355" i="1"/>
  <c r="D361" i="1"/>
  <c r="D367" i="1"/>
  <c r="D373" i="1"/>
  <c r="D379" i="1"/>
  <c r="D385" i="1"/>
  <c r="D391" i="1"/>
  <c r="D397" i="1"/>
  <c r="D403" i="1"/>
  <c r="D409" i="1"/>
  <c r="D415" i="1"/>
  <c r="D421" i="1"/>
  <c r="D427" i="1"/>
  <c r="D433" i="1"/>
  <c r="D439" i="1"/>
  <c r="D445" i="1"/>
  <c r="D451" i="1"/>
  <c r="D457" i="1"/>
  <c r="D463" i="1"/>
  <c r="D469" i="1"/>
  <c r="D475" i="1"/>
  <c r="D481" i="1"/>
  <c r="D487" i="1"/>
  <c r="D493" i="1"/>
  <c r="D499" i="1"/>
  <c r="D505" i="1"/>
  <c r="D511" i="1"/>
  <c r="D517" i="1"/>
  <c r="D14" i="1"/>
  <c r="D20" i="1"/>
  <c r="D26" i="1"/>
  <c r="D32" i="1"/>
  <c r="D38" i="1"/>
  <c r="D44" i="1"/>
  <c r="D50" i="1"/>
  <c r="D56" i="1"/>
  <c r="D62" i="1"/>
  <c r="D68" i="1"/>
  <c r="D74" i="1"/>
  <c r="D80" i="1"/>
  <c r="D86" i="1"/>
  <c r="D92" i="1"/>
  <c r="D98" i="1"/>
  <c r="D104" i="1"/>
  <c r="D110" i="1"/>
  <c r="D116" i="1"/>
  <c r="D122" i="1"/>
  <c r="D128" i="1"/>
  <c r="D134" i="1"/>
  <c r="D140" i="1"/>
  <c r="D146" i="1"/>
  <c r="D152" i="1"/>
  <c r="D158" i="1"/>
  <c r="D164" i="1"/>
  <c r="D170" i="1"/>
  <c r="D176" i="1"/>
  <c r="D182" i="1"/>
  <c r="D188" i="1"/>
  <c r="D194" i="1"/>
  <c r="D15" i="1"/>
  <c r="D21" i="1"/>
  <c r="D27" i="1"/>
  <c r="D33" i="1"/>
  <c r="D39" i="1"/>
  <c r="D45" i="1"/>
  <c r="D51" i="1"/>
  <c r="D57" i="1"/>
  <c r="D63" i="1"/>
  <c r="D69" i="1"/>
  <c r="D16" i="1"/>
  <c r="D22" i="1"/>
  <c r="D28" i="1"/>
  <c r="D34" i="1"/>
  <c r="D40" i="1"/>
  <c r="D46" i="1"/>
  <c r="D52" i="1"/>
  <c r="D58" i="1"/>
  <c r="D17" i="1"/>
  <c r="D23" i="1"/>
  <c r="D29" i="1"/>
  <c r="D35" i="1"/>
  <c r="D41" i="1"/>
  <c r="D47" i="1"/>
  <c r="D53" i="1"/>
  <c r="D59" i="1"/>
  <c r="D65" i="1"/>
  <c r="D71" i="1"/>
  <c r="D77" i="1"/>
  <c r="D83" i="1"/>
  <c r="D89" i="1"/>
  <c r="D95" i="1"/>
  <c r="D101" i="1"/>
  <c r="D107" i="1"/>
  <c r="D113" i="1"/>
  <c r="D119" i="1"/>
  <c r="D125" i="1"/>
  <c r="D131" i="1"/>
  <c r="D137" i="1"/>
  <c r="D143" i="1"/>
  <c r="D149" i="1"/>
  <c r="D155" i="1"/>
  <c r="D161" i="1"/>
  <c r="D167" i="1"/>
  <c r="D173" i="1"/>
  <c r="D179" i="1"/>
  <c r="D185" i="1"/>
  <c r="D191" i="1"/>
  <c r="D197" i="1"/>
  <c r="D203" i="1"/>
  <c r="D209" i="1"/>
  <c r="D215" i="1"/>
  <c r="D221" i="1"/>
  <c r="D227" i="1"/>
  <c r="D233" i="1"/>
  <c r="D239" i="1"/>
  <c r="D245" i="1"/>
  <c r="D251" i="1"/>
  <c r="D257" i="1"/>
  <c r="D263" i="1"/>
  <c r="D269" i="1"/>
  <c r="D275" i="1"/>
  <c r="D281" i="1"/>
  <c r="D287" i="1"/>
  <c r="D293" i="1"/>
  <c r="D299" i="1"/>
  <c r="D305" i="1"/>
  <c r="D311" i="1"/>
  <c r="D317" i="1"/>
  <c r="D323" i="1"/>
  <c r="D329" i="1"/>
  <c r="D335" i="1"/>
  <c r="D341" i="1"/>
  <c r="D347" i="1"/>
  <c r="D353" i="1"/>
  <c r="D359" i="1"/>
  <c r="D365" i="1"/>
  <c r="D371" i="1"/>
  <c r="D377" i="1"/>
  <c r="D383" i="1"/>
  <c r="D389" i="1"/>
  <c r="D395" i="1"/>
  <c r="D401" i="1"/>
  <c r="D407" i="1"/>
  <c r="D413" i="1"/>
  <c r="D419" i="1"/>
  <c r="D425" i="1"/>
  <c r="D431" i="1"/>
  <c r="D437" i="1"/>
  <c r="D443" i="1"/>
  <c r="D449" i="1"/>
  <c r="D455" i="1"/>
  <c r="D461" i="1"/>
  <c r="D467" i="1"/>
  <c r="D473" i="1"/>
  <c r="D479" i="1"/>
  <c r="D485" i="1"/>
  <c r="D491" i="1"/>
  <c r="D497" i="1"/>
  <c r="D503" i="1"/>
  <c r="D509" i="1"/>
  <c r="D515" i="1"/>
  <c r="D521" i="1"/>
  <c r="D18" i="1"/>
  <c r="D54" i="1"/>
  <c r="D75" i="1"/>
  <c r="D87" i="1"/>
  <c r="D99" i="1"/>
  <c r="D111" i="1"/>
  <c r="D123" i="1"/>
  <c r="D135" i="1"/>
  <c r="D147" i="1"/>
  <c r="D159" i="1"/>
  <c r="D171" i="1"/>
  <c r="D183" i="1"/>
  <c r="D195" i="1"/>
  <c r="D204" i="1"/>
  <c r="D213" i="1"/>
  <c r="D222" i="1"/>
  <c r="D231" i="1"/>
  <c r="D240" i="1"/>
  <c r="D249" i="1"/>
  <c r="D258" i="1"/>
  <c r="D267" i="1"/>
  <c r="D276" i="1"/>
  <c r="D285" i="1"/>
  <c r="D294" i="1"/>
  <c r="D303" i="1"/>
  <c r="D312" i="1"/>
  <c r="D321" i="1"/>
  <c r="D330" i="1"/>
  <c r="D339" i="1"/>
  <c r="D348" i="1"/>
  <c r="D357" i="1"/>
  <c r="D366" i="1"/>
  <c r="D375" i="1"/>
  <c r="D384" i="1"/>
  <c r="D393" i="1"/>
  <c r="D402" i="1"/>
  <c r="D411" i="1"/>
  <c r="D420" i="1"/>
  <c r="D429" i="1"/>
  <c r="D438" i="1"/>
  <c r="D447" i="1"/>
  <c r="D456" i="1"/>
  <c r="D465" i="1"/>
  <c r="D474" i="1"/>
  <c r="D483" i="1"/>
  <c r="D492" i="1"/>
  <c r="D501" i="1"/>
  <c r="D510" i="1"/>
  <c r="D519" i="1"/>
  <c r="D526" i="1"/>
  <c r="D532" i="1"/>
  <c r="D538" i="1"/>
  <c r="D544" i="1"/>
  <c r="D550" i="1"/>
  <c r="D556" i="1"/>
  <c r="D562" i="1"/>
  <c r="D568" i="1"/>
  <c r="D574" i="1"/>
  <c r="D580" i="1"/>
  <c r="D586" i="1"/>
  <c r="D592" i="1"/>
  <c r="D598" i="1"/>
  <c r="D604" i="1"/>
  <c r="D610" i="1"/>
  <c r="D616" i="1"/>
  <c r="D622" i="1"/>
  <c r="D628" i="1"/>
  <c r="D634" i="1"/>
  <c r="D640" i="1"/>
  <c r="D646" i="1"/>
  <c r="D652" i="1"/>
  <c r="D658" i="1"/>
  <c r="D664" i="1"/>
  <c r="D670" i="1"/>
  <c r="D24" i="1"/>
  <c r="D60" i="1"/>
  <c r="D76" i="1"/>
  <c r="D88" i="1"/>
  <c r="D100" i="1"/>
  <c r="D112" i="1"/>
  <c r="D124" i="1"/>
  <c r="D136" i="1"/>
  <c r="D148" i="1"/>
  <c r="D160" i="1"/>
  <c r="D172" i="1"/>
  <c r="D184" i="1"/>
  <c r="D196" i="1"/>
  <c r="D206" i="1"/>
  <c r="D214" i="1"/>
  <c r="D224" i="1"/>
  <c r="D232" i="1"/>
  <c r="D242" i="1"/>
  <c r="D250" i="1"/>
  <c r="D260" i="1"/>
  <c r="D268" i="1"/>
  <c r="D278" i="1"/>
  <c r="D286" i="1"/>
  <c r="D296" i="1"/>
  <c r="D304" i="1"/>
  <c r="D314" i="1"/>
  <c r="D322" i="1"/>
  <c r="D332" i="1"/>
  <c r="D340" i="1"/>
  <c r="D350" i="1"/>
  <c r="D358" i="1"/>
  <c r="D368" i="1"/>
  <c r="D376" i="1"/>
  <c r="D386" i="1"/>
  <c r="D394" i="1"/>
  <c r="D404" i="1"/>
  <c r="D412" i="1"/>
  <c r="D422" i="1"/>
  <c r="D430" i="1"/>
  <c r="D440" i="1"/>
  <c r="D448" i="1"/>
  <c r="D458" i="1"/>
  <c r="D466" i="1"/>
  <c r="D476" i="1"/>
  <c r="D484" i="1"/>
  <c r="D494" i="1"/>
  <c r="D502" i="1"/>
  <c r="D512" i="1"/>
  <c r="D520" i="1"/>
  <c r="D527" i="1"/>
  <c r="D533" i="1"/>
  <c r="D539" i="1"/>
  <c r="D545" i="1"/>
  <c r="D551" i="1"/>
  <c r="D557" i="1"/>
  <c r="D563" i="1"/>
  <c r="D569" i="1"/>
  <c r="D575" i="1"/>
  <c r="D581" i="1"/>
  <c r="D587" i="1"/>
  <c r="D593" i="1"/>
  <c r="D599" i="1"/>
  <c r="D605" i="1"/>
  <c r="D611" i="1"/>
  <c r="D617" i="1"/>
  <c r="D623" i="1"/>
  <c r="D629" i="1"/>
  <c r="D635" i="1"/>
  <c r="D641" i="1"/>
  <c r="D647" i="1"/>
  <c r="D653" i="1"/>
  <c r="D659" i="1"/>
  <c r="D665" i="1"/>
  <c r="D671" i="1"/>
  <c r="D677" i="1"/>
  <c r="D683" i="1"/>
  <c r="D689" i="1"/>
  <c r="D695" i="1"/>
  <c r="D701" i="1"/>
  <c r="D707" i="1"/>
  <c r="D713" i="1"/>
  <c r="D719" i="1"/>
  <c r="D725" i="1"/>
  <c r="D731" i="1"/>
  <c r="D737" i="1"/>
  <c r="D30" i="1"/>
  <c r="D64" i="1"/>
  <c r="D78" i="1"/>
  <c r="D90" i="1"/>
  <c r="D102" i="1"/>
  <c r="D114" i="1"/>
  <c r="D126" i="1"/>
  <c r="D138" i="1"/>
  <c r="D150" i="1"/>
  <c r="D162" i="1"/>
  <c r="D174" i="1"/>
  <c r="D186" i="1"/>
  <c r="D198" i="1"/>
  <c r="D207" i="1"/>
  <c r="D216" i="1"/>
  <c r="D225" i="1"/>
  <c r="D234" i="1"/>
  <c r="D243" i="1"/>
  <c r="D252" i="1"/>
  <c r="D261" i="1"/>
  <c r="D270" i="1"/>
  <c r="D279" i="1"/>
  <c r="D288" i="1"/>
  <c r="D297" i="1"/>
  <c r="D306" i="1"/>
  <c r="D315" i="1"/>
  <c r="D324" i="1"/>
  <c r="D333" i="1"/>
  <c r="D342" i="1"/>
  <c r="D351" i="1"/>
  <c r="D360" i="1"/>
  <c r="D369" i="1"/>
  <c r="D378" i="1"/>
  <c r="D387" i="1"/>
  <c r="D396" i="1"/>
  <c r="D405" i="1"/>
  <c r="D414" i="1"/>
  <c r="D423" i="1"/>
  <c r="D432" i="1"/>
  <c r="D441" i="1"/>
  <c r="D450" i="1"/>
  <c r="D459" i="1"/>
  <c r="D468" i="1"/>
  <c r="D477" i="1"/>
  <c r="D486" i="1"/>
  <c r="D495" i="1"/>
  <c r="D504" i="1"/>
  <c r="D513" i="1"/>
  <c r="D522" i="1"/>
  <c r="D528" i="1"/>
  <c r="D534" i="1"/>
  <c r="D540" i="1"/>
  <c r="D546" i="1"/>
  <c r="D552" i="1"/>
  <c r="D558" i="1"/>
  <c r="D564" i="1"/>
  <c r="D570" i="1"/>
  <c r="D576" i="1"/>
  <c r="D582" i="1"/>
  <c r="D588" i="1"/>
  <c r="D594" i="1"/>
  <c r="D600" i="1"/>
  <c r="D606" i="1"/>
  <c r="D612" i="1"/>
  <c r="D618" i="1"/>
  <c r="D624" i="1"/>
  <c r="D630" i="1"/>
  <c r="D636" i="1"/>
  <c r="D642" i="1"/>
  <c r="D648" i="1"/>
  <c r="D654" i="1"/>
  <c r="D660" i="1"/>
  <c r="D666" i="1"/>
  <c r="D672" i="1"/>
  <c r="D678" i="1"/>
  <c r="D684" i="1"/>
  <c r="D690" i="1"/>
  <c r="D696" i="1"/>
  <c r="D702" i="1"/>
  <c r="D708" i="1"/>
  <c r="D714" i="1"/>
  <c r="D720" i="1"/>
  <c r="D726" i="1"/>
  <c r="D732" i="1"/>
  <c r="D738" i="1"/>
  <c r="D36" i="1"/>
  <c r="D66" i="1"/>
  <c r="D81" i="1"/>
  <c r="D93" i="1"/>
  <c r="D105" i="1"/>
  <c r="D117" i="1"/>
  <c r="D129" i="1"/>
  <c r="D141" i="1"/>
  <c r="D153" i="1"/>
  <c r="D165" i="1"/>
  <c r="D177" i="1"/>
  <c r="D189" i="1"/>
  <c r="D200" i="1"/>
  <c r="D208" i="1"/>
  <c r="D218" i="1"/>
  <c r="D226" i="1"/>
  <c r="D236" i="1"/>
  <c r="D244" i="1"/>
  <c r="D42" i="1"/>
  <c r="D70" i="1"/>
  <c r="D82" i="1"/>
  <c r="D94" i="1"/>
  <c r="D106" i="1"/>
  <c r="D118" i="1"/>
  <c r="D130" i="1"/>
  <c r="D142" i="1"/>
  <c r="D154" i="1"/>
  <c r="D166" i="1"/>
  <c r="D178" i="1"/>
  <c r="D190" i="1"/>
  <c r="D201" i="1"/>
  <c r="D210" i="1"/>
  <c r="D219" i="1"/>
  <c r="D228" i="1"/>
  <c r="D237" i="1"/>
  <c r="D246" i="1"/>
  <c r="D255" i="1"/>
  <c r="D264" i="1"/>
  <c r="D273" i="1"/>
  <c r="D282" i="1"/>
  <c r="D291" i="1"/>
  <c r="D300" i="1"/>
  <c r="D309" i="1"/>
  <c r="D318" i="1"/>
  <c r="D327" i="1"/>
  <c r="D336" i="1"/>
  <c r="D345" i="1"/>
  <c r="D354" i="1"/>
  <c r="D363" i="1"/>
  <c r="D372" i="1"/>
  <c r="D381" i="1"/>
  <c r="D390" i="1"/>
  <c r="D399" i="1"/>
  <c r="D408" i="1"/>
  <c r="D417" i="1"/>
  <c r="D426" i="1"/>
  <c r="D435" i="1"/>
  <c r="D444" i="1"/>
  <c r="D453" i="1"/>
  <c r="D462" i="1"/>
  <c r="D471" i="1"/>
  <c r="D480" i="1"/>
  <c r="D489" i="1"/>
  <c r="D498" i="1"/>
  <c r="D507" i="1"/>
  <c r="D516" i="1"/>
  <c r="D524" i="1"/>
  <c r="D530" i="1"/>
  <c r="D536" i="1"/>
  <c r="D542" i="1"/>
  <c r="D548" i="1"/>
  <c r="D554" i="1"/>
  <c r="D560" i="1"/>
  <c r="D566" i="1"/>
  <c r="D572" i="1"/>
  <c r="D578" i="1"/>
  <c r="D584" i="1"/>
  <c r="D590" i="1"/>
  <c r="D596" i="1"/>
  <c r="D602" i="1"/>
  <c r="D608" i="1"/>
  <c r="D614" i="1"/>
  <c r="D620" i="1"/>
  <c r="D626" i="1"/>
  <c r="D632" i="1"/>
  <c r="D638" i="1"/>
  <c r="D644" i="1"/>
  <c r="D650" i="1"/>
  <c r="D656" i="1"/>
  <c r="D662" i="1"/>
  <c r="D668" i="1"/>
  <c r="D674" i="1"/>
  <c r="D680" i="1"/>
  <c r="D686" i="1"/>
  <c r="D692" i="1"/>
  <c r="D698" i="1"/>
  <c r="D704" i="1"/>
  <c r="D710" i="1"/>
  <c r="D716" i="1"/>
  <c r="D722" i="1"/>
  <c r="D48" i="1"/>
  <c r="D132" i="1"/>
  <c r="D202" i="1"/>
  <c r="D254" i="1"/>
  <c r="D280" i="1"/>
  <c r="D308" i="1"/>
  <c r="D334" i="1"/>
  <c r="D362" i="1"/>
  <c r="D388" i="1"/>
  <c r="D416" i="1"/>
  <c r="D442" i="1"/>
  <c r="D470" i="1"/>
  <c r="D496" i="1"/>
  <c r="D523" i="1"/>
  <c r="D541" i="1"/>
  <c r="D559" i="1"/>
  <c r="D577" i="1"/>
  <c r="D595" i="1"/>
  <c r="D613" i="1"/>
  <c r="D631" i="1"/>
  <c r="D649" i="1"/>
  <c r="D667" i="1"/>
  <c r="D681" i="1"/>
  <c r="D693" i="1"/>
  <c r="D705" i="1"/>
  <c r="D717" i="1"/>
  <c r="D728" i="1"/>
  <c r="D736" i="1"/>
  <c r="D744" i="1"/>
  <c r="D750" i="1"/>
  <c r="D756" i="1"/>
  <c r="D762" i="1"/>
  <c r="D768" i="1"/>
  <c r="D774" i="1"/>
  <c r="D780" i="1"/>
  <c r="D786" i="1"/>
  <c r="D792" i="1"/>
  <c r="D798" i="1"/>
  <c r="D804" i="1"/>
  <c r="D810" i="1"/>
  <c r="D816" i="1"/>
  <c r="D822" i="1"/>
  <c r="D828" i="1"/>
  <c r="D834" i="1"/>
  <c r="D840" i="1"/>
  <c r="D846" i="1"/>
  <c r="D852" i="1"/>
  <c r="D858" i="1"/>
  <c r="D864" i="1"/>
  <c r="D870" i="1"/>
  <c r="D876" i="1"/>
  <c r="D882" i="1"/>
  <c r="D888" i="1"/>
  <c r="D894" i="1"/>
  <c r="D900" i="1"/>
  <c r="D906" i="1"/>
  <c r="D912" i="1"/>
  <c r="D918" i="1"/>
  <c r="D924" i="1"/>
  <c r="D930" i="1"/>
  <c r="D936" i="1"/>
  <c r="D942" i="1"/>
  <c r="D948" i="1"/>
  <c r="D954" i="1"/>
  <c r="D960" i="1"/>
  <c r="D966" i="1"/>
  <c r="D972" i="1"/>
  <c r="D978" i="1"/>
  <c r="D984" i="1"/>
  <c r="D990" i="1"/>
  <c r="D996" i="1"/>
  <c r="D1002" i="1"/>
  <c r="D1008" i="1"/>
  <c r="D72" i="1"/>
  <c r="D144" i="1"/>
  <c r="D212" i="1"/>
  <c r="D284" i="1"/>
  <c r="D310" i="1"/>
  <c r="D338" i="1"/>
  <c r="D364" i="1"/>
  <c r="D392" i="1"/>
  <c r="D418" i="1"/>
  <c r="D446" i="1"/>
  <c r="D472" i="1"/>
  <c r="D500" i="1"/>
  <c r="D543" i="1"/>
  <c r="D561" i="1"/>
  <c r="D579" i="1"/>
  <c r="D597" i="1"/>
  <c r="D633" i="1"/>
  <c r="D651" i="1"/>
  <c r="D669" i="1"/>
  <c r="D694" i="1"/>
  <c r="D706" i="1"/>
  <c r="D729" i="1"/>
  <c r="D745" i="1"/>
  <c r="D751" i="1"/>
  <c r="D763" i="1"/>
  <c r="D775" i="1"/>
  <c r="D787" i="1"/>
  <c r="D799" i="1"/>
  <c r="D805" i="1"/>
  <c r="D817" i="1"/>
  <c r="D829" i="1"/>
  <c r="D835" i="1"/>
  <c r="D847" i="1"/>
  <c r="D859" i="1"/>
  <c r="D871" i="1"/>
  <c r="D877" i="1"/>
  <c r="D889" i="1"/>
  <c r="D901" i="1"/>
  <c r="D913" i="1"/>
  <c r="D925" i="1"/>
  <c r="D937" i="1"/>
  <c r="D949" i="1"/>
  <c r="D961" i="1"/>
  <c r="D979" i="1"/>
  <c r="D991" i="1"/>
  <c r="D1009" i="1"/>
  <c r="D256" i="1"/>
  <c r="D525" i="1"/>
  <c r="D615" i="1"/>
  <c r="D682" i="1"/>
  <c r="D718" i="1"/>
  <c r="D739" i="1"/>
  <c r="D757" i="1"/>
  <c r="D769" i="1"/>
  <c r="D781" i="1"/>
  <c r="D793" i="1"/>
  <c r="D811" i="1"/>
  <c r="D823" i="1"/>
  <c r="D841" i="1"/>
  <c r="D853" i="1"/>
  <c r="D865" i="1"/>
  <c r="D883" i="1"/>
  <c r="D895" i="1"/>
  <c r="D907" i="1"/>
  <c r="D919" i="1"/>
  <c r="D931" i="1"/>
  <c r="D943" i="1"/>
  <c r="D955" i="1"/>
  <c r="D973" i="1"/>
  <c r="D985" i="1"/>
  <c r="D1003" i="1"/>
  <c r="D84" i="1"/>
  <c r="D156" i="1"/>
  <c r="D220" i="1"/>
  <c r="D262" i="1"/>
  <c r="D290" i="1"/>
  <c r="D316" i="1"/>
  <c r="D344" i="1"/>
  <c r="D370" i="1"/>
  <c r="D398" i="1"/>
  <c r="D424" i="1"/>
  <c r="D452" i="1"/>
  <c r="D478" i="1"/>
  <c r="D506" i="1"/>
  <c r="D529" i="1"/>
  <c r="D547" i="1"/>
  <c r="D565" i="1"/>
  <c r="D583" i="1"/>
  <c r="D601" i="1"/>
  <c r="D619" i="1"/>
  <c r="D637" i="1"/>
  <c r="D655" i="1"/>
  <c r="D673" i="1"/>
  <c r="D685" i="1"/>
  <c r="D697" i="1"/>
  <c r="D709" i="1"/>
  <c r="D721" i="1"/>
  <c r="D730" i="1"/>
  <c r="D740" i="1"/>
  <c r="D746" i="1"/>
  <c r="D752" i="1"/>
  <c r="D758" i="1"/>
  <c r="D764" i="1"/>
  <c r="D770" i="1"/>
  <c r="D776" i="1"/>
  <c r="D782" i="1"/>
  <c r="D788" i="1"/>
  <c r="D794" i="1"/>
  <c r="D800" i="1"/>
  <c r="D806" i="1"/>
  <c r="D812" i="1"/>
  <c r="D818" i="1"/>
  <c r="D824" i="1"/>
  <c r="D830" i="1"/>
  <c r="D836" i="1"/>
  <c r="D842" i="1"/>
  <c r="D848" i="1"/>
  <c r="D854" i="1"/>
  <c r="D860" i="1"/>
  <c r="D866" i="1"/>
  <c r="D872" i="1"/>
  <c r="D878" i="1"/>
  <c r="D884" i="1"/>
  <c r="D890" i="1"/>
  <c r="D896" i="1"/>
  <c r="D902" i="1"/>
  <c r="D908" i="1"/>
  <c r="D914" i="1"/>
  <c r="D920" i="1"/>
  <c r="D926" i="1"/>
  <c r="D932" i="1"/>
  <c r="D938" i="1"/>
  <c r="D944" i="1"/>
  <c r="D950" i="1"/>
  <c r="D956" i="1"/>
  <c r="D962" i="1"/>
  <c r="D968" i="1"/>
  <c r="D974" i="1"/>
  <c r="D980" i="1"/>
  <c r="D986" i="1"/>
  <c r="D992" i="1"/>
  <c r="D998" i="1"/>
  <c r="D1004" i="1"/>
  <c r="D1010" i="1"/>
  <c r="D96" i="1"/>
  <c r="D168" i="1"/>
  <c r="D230" i="1"/>
  <c r="D266" i="1"/>
  <c r="D292" i="1"/>
  <c r="D320" i="1"/>
  <c r="D346" i="1"/>
  <c r="D374" i="1"/>
  <c r="D400" i="1"/>
  <c r="D428" i="1"/>
  <c r="D454" i="1"/>
  <c r="D482" i="1"/>
  <c r="D508" i="1"/>
  <c r="D531" i="1"/>
  <c r="D549" i="1"/>
  <c r="D567" i="1"/>
  <c r="D585" i="1"/>
  <c r="D603" i="1"/>
  <c r="D621" i="1"/>
  <c r="D639" i="1"/>
  <c r="D657" i="1"/>
  <c r="D675" i="1"/>
  <c r="D687" i="1"/>
  <c r="D699" i="1"/>
  <c r="D711" i="1"/>
  <c r="D723" i="1"/>
  <c r="D733" i="1"/>
  <c r="D741" i="1"/>
  <c r="D747" i="1"/>
  <c r="D753" i="1"/>
  <c r="D759" i="1"/>
  <c r="D765" i="1"/>
  <c r="D771" i="1"/>
  <c r="D777" i="1"/>
  <c r="D783" i="1"/>
  <c r="D789" i="1"/>
  <c r="D795" i="1"/>
  <c r="D801" i="1"/>
  <c r="D807" i="1"/>
  <c r="D813" i="1"/>
  <c r="D819" i="1"/>
  <c r="D825" i="1"/>
  <c r="D831" i="1"/>
  <c r="D837" i="1"/>
  <c r="D843" i="1"/>
  <c r="D849" i="1"/>
  <c r="D855" i="1"/>
  <c r="D861" i="1"/>
  <c r="D867" i="1"/>
  <c r="D873" i="1"/>
  <c r="D879" i="1"/>
  <c r="D885" i="1"/>
  <c r="D891" i="1"/>
  <c r="D897" i="1"/>
  <c r="D903" i="1"/>
  <c r="D909" i="1"/>
  <c r="D915" i="1"/>
  <c r="D921" i="1"/>
  <c r="D927" i="1"/>
  <c r="D933" i="1"/>
  <c r="D939" i="1"/>
  <c r="D945" i="1"/>
  <c r="D951" i="1"/>
  <c r="D957" i="1"/>
  <c r="D963" i="1"/>
  <c r="D969" i="1"/>
  <c r="D975" i="1"/>
  <c r="D981" i="1"/>
  <c r="D987" i="1"/>
  <c r="D993" i="1"/>
  <c r="D999" i="1"/>
  <c r="D1005" i="1"/>
  <c r="D1011" i="1"/>
  <c r="D983" i="1"/>
  <c r="D995" i="1"/>
  <c r="D1007" i="1"/>
  <c r="D967" i="1"/>
  <c r="D997" i="1"/>
  <c r="D108" i="1"/>
  <c r="D180" i="1"/>
  <c r="D238" i="1"/>
  <c r="D272" i="1"/>
  <c r="D298" i="1"/>
  <c r="D326" i="1"/>
  <c r="D352" i="1"/>
  <c r="D380" i="1"/>
  <c r="D406" i="1"/>
  <c r="D434" i="1"/>
  <c r="D460" i="1"/>
  <c r="D488" i="1"/>
  <c r="D514" i="1"/>
  <c r="D535" i="1"/>
  <c r="D553" i="1"/>
  <c r="D571" i="1"/>
  <c r="D589" i="1"/>
  <c r="D607" i="1"/>
  <c r="D625" i="1"/>
  <c r="D643" i="1"/>
  <c r="D661" i="1"/>
  <c r="D676" i="1"/>
  <c r="D688" i="1"/>
  <c r="D700" i="1"/>
  <c r="D712" i="1"/>
  <c r="D724" i="1"/>
  <c r="D734" i="1"/>
  <c r="D742" i="1"/>
  <c r="D748" i="1"/>
  <c r="D754" i="1"/>
  <c r="D760" i="1"/>
  <c r="D766" i="1"/>
  <c r="D772" i="1"/>
  <c r="D778" i="1"/>
  <c r="D784" i="1"/>
  <c r="D790" i="1"/>
  <c r="D796" i="1"/>
  <c r="D802" i="1"/>
  <c r="D808" i="1"/>
  <c r="D814" i="1"/>
  <c r="D820" i="1"/>
  <c r="D826" i="1"/>
  <c r="D832" i="1"/>
  <c r="D838" i="1"/>
  <c r="D844" i="1"/>
  <c r="D850" i="1"/>
  <c r="D856" i="1"/>
  <c r="D862" i="1"/>
  <c r="D868" i="1"/>
  <c r="D874" i="1"/>
  <c r="D880" i="1"/>
  <c r="D886" i="1"/>
  <c r="D892" i="1"/>
  <c r="D898" i="1"/>
  <c r="D904" i="1"/>
  <c r="D910" i="1"/>
  <c r="D916" i="1"/>
  <c r="D922" i="1"/>
  <c r="D928" i="1"/>
  <c r="D934" i="1"/>
  <c r="D940" i="1"/>
  <c r="D946" i="1"/>
  <c r="D952" i="1"/>
  <c r="D958" i="1"/>
  <c r="D964" i="1"/>
  <c r="D970" i="1"/>
  <c r="D976" i="1"/>
  <c r="D982" i="1"/>
  <c r="D988" i="1"/>
  <c r="D994" i="1"/>
  <c r="D1000" i="1"/>
  <c r="D1006" i="1"/>
  <c r="D12" i="1"/>
  <c r="D120" i="1"/>
  <c r="D192" i="1"/>
  <c r="D248" i="1"/>
  <c r="D274" i="1"/>
  <c r="D302" i="1"/>
  <c r="D328" i="1"/>
  <c r="D356" i="1"/>
  <c r="D382" i="1"/>
  <c r="D410" i="1"/>
  <c r="D436" i="1"/>
  <c r="D464" i="1"/>
  <c r="D490" i="1"/>
  <c r="D518" i="1"/>
  <c r="D537" i="1"/>
  <c r="D555" i="1"/>
  <c r="D573" i="1"/>
  <c r="D591" i="1"/>
  <c r="D609" i="1"/>
  <c r="D627" i="1"/>
  <c r="D645" i="1"/>
  <c r="D663" i="1"/>
  <c r="D679" i="1"/>
  <c r="D691" i="1"/>
  <c r="D703" i="1"/>
  <c r="D715" i="1"/>
  <c r="D727" i="1"/>
  <c r="D735" i="1"/>
  <c r="D743" i="1"/>
  <c r="D749" i="1"/>
  <c r="D755" i="1"/>
  <c r="D761" i="1"/>
  <c r="D767" i="1"/>
  <c r="D773" i="1"/>
  <c r="D779" i="1"/>
  <c r="D785" i="1"/>
  <c r="D791" i="1"/>
  <c r="D797" i="1"/>
  <c r="D803" i="1"/>
  <c r="D809" i="1"/>
  <c r="D815" i="1"/>
  <c r="D821" i="1"/>
  <c r="D827" i="1"/>
  <c r="D833" i="1"/>
  <c r="D839" i="1"/>
  <c r="D845" i="1"/>
  <c r="D851" i="1"/>
  <c r="D857" i="1"/>
  <c r="D863" i="1"/>
  <c r="D869" i="1"/>
  <c r="D875" i="1"/>
  <c r="D881" i="1"/>
  <c r="D887" i="1"/>
  <c r="D893" i="1"/>
  <c r="D899" i="1"/>
  <c r="D905" i="1"/>
  <c r="D911" i="1"/>
  <c r="D917" i="1"/>
  <c r="D923" i="1"/>
  <c r="D929" i="1"/>
  <c r="D935" i="1"/>
  <c r="D941" i="1"/>
  <c r="D947" i="1"/>
  <c r="D953" i="1"/>
  <c r="D959" i="1"/>
  <c r="D965" i="1"/>
  <c r="D971" i="1"/>
  <c r="D977" i="1"/>
  <c r="D989" i="1"/>
  <c r="D1001" i="1"/>
  <c r="J11" i="2" l="1"/>
  <c r="H8" i="2" s="1"/>
  <c r="M3" i="1" s="1"/>
  <c r="F12" i="1" s="1" a="1"/>
  <c r="F12" i="1" s="1"/>
  <c r="E12" i="1" l="1"/>
  <c r="I12" i="1" s="1" a="1"/>
  <c r="I12" i="1" s="1"/>
  <c r="I15" i="2"/>
  <c r="H15" i="2" s="1"/>
  <c r="G12" i="1" l="1"/>
  <c r="F13" i="1" s="1" a="1"/>
  <c r="F13" i="1" s="1"/>
  <c r="G13" i="1" s="1" a="1"/>
  <c r="G13" i="1" s="1"/>
  <c r="H12" i="1"/>
  <c r="E13" i="1" l="1" a="1"/>
  <c r="E13" i="1" s="1"/>
  <c r="F14" i="1" a="1"/>
  <c r="F14" i="1" s="1"/>
  <c r="G14" i="1" s="1" a="1"/>
  <c r="G14" i="1" s="1"/>
  <c r="F15" i="1" s="1" a="1"/>
  <c r="F15" i="1" s="1"/>
  <c r="H13" i="1" l="1"/>
  <c r="I13" i="1" a="1"/>
  <c r="I13" i="1" s="1"/>
  <c r="E14" i="1" a="1"/>
  <c r="E14" i="1" s="1"/>
  <c r="I14" i="1" s="1" a="1"/>
  <c r="I14" i="1" s="1"/>
  <c r="G15" i="1" a="1"/>
  <c r="G15" i="1" s="1"/>
  <c r="F16" i="1" s="1" a="1"/>
  <c r="F16" i="1" s="1"/>
  <c r="E15" i="1" l="1" a="1"/>
  <c r="E15" i="1" s="1"/>
  <c r="I15" i="1" s="1" a="1"/>
  <c r="I15" i="1" s="1"/>
  <c r="G16" i="1" a="1"/>
  <c r="G16" i="1" s="1"/>
  <c r="E16" i="1" s="1" a="1"/>
  <c r="E16" i="1" s="1"/>
  <c r="I16" i="1" s="1" a="1"/>
  <c r="I16" i="1" s="1"/>
  <c r="H14" i="1"/>
  <c r="H15" i="1" l="1"/>
  <c r="H16" i="1" s="1"/>
  <c r="F17" i="1" a="1"/>
  <c r="F17" i="1" s="1"/>
  <c r="G17" i="1" l="1" a="1"/>
  <c r="G17" i="1" s="1"/>
  <c r="E17" i="1" s="1" a="1"/>
  <c r="E17" i="1" s="1"/>
  <c r="I17" i="1" s="1" a="1"/>
  <c r="I17" i="1" s="1"/>
  <c r="H17" i="1" l="1"/>
  <c r="F18" i="1" a="1"/>
  <c r="F18" i="1" s="1"/>
  <c r="G18" i="1" l="1" a="1"/>
  <c r="G18" i="1" s="1"/>
  <c r="F19" i="1" l="1" a="1"/>
  <c r="F19" i="1" s="1"/>
  <c r="E18" i="1" a="1"/>
  <c r="E18" i="1" s="1"/>
  <c r="H18" i="1" l="1"/>
  <c r="I18" i="1" a="1"/>
  <c r="I18" i="1" s="1"/>
  <c r="G19" i="1" a="1"/>
  <c r="G19" i="1" s="1"/>
  <c r="F20" i="1" s="1" a="1"/>
  <c r="F20" i="1" s="1"/>
  <c r="E19" i="1" l="1" a="1"/>
  <c r="E19" i="1" s="1"/>
  <c r="G20" i="1" a="1"/>
  <c r="G20" i="1" s="1"/>
  <c r="F21" i="1" s="1" a="1"/>
  <c r="F21" i="1" s="1"/>
  <c r="H19" i="1" l="1"/>
  <c r="I19" i="1" a="1"/>
  <c r="I19" i="1" s="1"/>
  <c r="E20" i="1" a="1"/>
  <c r="E20" i="1" s="1"/>
  <c r="G21" i="1" a="1"/>
  <c r="G21" i="1" s="1"/>
  <c r="F22" i="1" s="1" a="1"/>
  <c r="F22" i="1" s="1"/>
  <c r="H20" i="1" l="1"/>
  <c r="I20" i="1" a="1"/>
  <c r="I20" i="1" s="1"/>
  <c r="E21" i="1" a="1"/>
  <c r="E21" i="1" s="1"/>
  <c r="G22" i="1" a="1"/>
  <c r="G22" i="1" s="1"/>
  <c r="E22" i="1" s="1" a="1"/>
  <c r="E22" i="1" s="1"/>
  <c r="I22" i="1" l="1" a="1"/>
  <c r="I22" i="1" s="1"/>
  <c r="H21" i="1"/>
  <c r="H22" i="1" s="1"/>
  <c r="I21" i="1" a="1"/>
  <c r="I21" i="1" s="1"/>
  <c r="F23" i="1" a="1"/>
  <c r="F23" i="1" s="1"/>
  <c r="G23" i="1" l="1" a="1"/>
  <c r="G23" i="1" s="1"/>
  <c r="E23" i="1" s="1" a="1"/>
  <c r="E23" i="1" s="1"/>
  <c r="H23" i="1" l="1"/>
  <c r="I23" i="1" a="1"/>
  <c r="I23" i="1" s="1"/>
  <c r="O3" i="1" s="1"/>
  <c r="P3" i="1" s="1"/>
  <c r="F24" i="1" a="1"/>
  <c r="F24" i="1" s="1"/>
  <c r="S3" i="1" l="1"/>
  <c r="Q3" i="1"/>
  <c r="G24" i="1" a="1"/>
  <c r="G24" i="1" s="1"/>
  <c r="E24" i="1" s="1" a="1"/>
  <c r="E24" i="1" s="1"/>
  <c r="R3" i="1" l="1"/>
  <c r="T3" i="1"/>
  <c r="H24" i="1"/>
  <c r="I24" i="1" a="1"/>
  <c r="I24" i="1" s="1"/>
  <c r="F25" i="1" a="1"/>
  <c r="F25" i="1" s="1"/>
  <c r="G25" i="1" l="1" a="1"/>
  <c r="G25" i="1" s="1"/>
  <c r="E25" i="1" s="1" a="1"/>
  <c r="E25" i="1" s="1"/>
  <c r="H25" i="1" l="1"/>
  <c r="I25" i="1" a="1"/>
  <c r="I25" i="1" s="1"/>
  <c r="F26" i="1" a="1"/>
  <c r="F26" i="1" s="1"/>
  <c r="G26" i="1" s="1" a="1"/>
  <c r="G26" i="1" s="1"/>
  <c r="E26" i="1" s="1" a="1"/>
  <c r="E26" i="1" s="1"/>
  <c r="H26" i="1" l="1"/>
  <c r="I26" i="1" a="1"/>
  <c r="I26" i="1" s="1"/>
  <c r="F27" i="1" a="1"/>
  <c r="F27" i="1" s="1"/>
  <c r="G27" i="1" s="1" a="1"/>
  <c r="G27" i="1" s="1"/>
  <c r="E27" i="1" s="1" a="1"/>
  <c r="E27" i="1" s="1"/>
  <c r="H27" i="1" l="1"/>
  <c r="I27" i="1" a="1"/>
  <c r="I27" i="1" s="1"/>
  <c r="F28" i="1" a="1"/>
  <c r="F28" i="1" s="1"/>
  <c r="G28" i="1" s="1" a="1"/>
  <c r="G28" i="1" s="1"/>
  <c r="E28" i="1" l="1" a="1"/>
  <c r="E28" i="1" s="1"/>
  <c r="F29" i="1" a="1"/>
  <c r="F29" i="1" s="1"/>
  <c r="G29" i="1" s="1" a="1"/>
  <c r="G29" i="1" s="1"/>
  <c r="H28" i="1" l="1"/>
  <c r="I28" i="1" a="1"/>
  <c r="I28" i="1" s="1"/>
  <c r="E29" i="1" a="1"/>
  <c r="E29" i="1" s="1"/>
  <c r="F30" i="1" a="1"/>
  <c r="F30" i="1" s="1"/>
  <c r="G30" i="1" s="1" a="1"/>
  <c r="G30" i="1" s="1"/>
  <c r="H29" i="1" l="1"/>
  <c r="I29" i="1" a="1"/>
  <c r="I29" i="1" s="1"/>
  <c r="F31" i="1" a="1"/>
  <c r="F31" i="1" s="1"/>
  <c r="G31" i="1" s="1" a="1"/>
  <c r="G31" i="1" s="1"/>
  <c r="E31" i="1" s="1" a="1"/>
  <c r="E31" i="1" s="1"/>
  <c r="I31" i="1" s="1" a="1"/>
  <c r="I31" i="1" s="1"/>
  <c r="E30" i="1" a="1"/>
  <c r="E30" i="1" s="1"/>
  <c r="H30" i="1" l="1"/>
  <c r="H31" i="1" s="1"/>
  <c r="I30" i="1" a="1"/>
  <c r="I30" i="1" s="1"/>
  <c r="F32" i="1" a="1"/>
  <c r="F32" i="1" s="1"/>
  <c r="G32" i="1" s="1" a="1"/>
  <c r="G32" i="1" s="1"/>
  <c r="F33" i="1" s="1" a="1"/>
  <c r="F33" i="1" s="1"/>
  <c r="G33" i="1" l="1" a="1"/>
  <c r="G33" i="1" s="1"/>
  <c r="F34" i="1" s="1" a="1"/>
  <c r="F34" i="1" s="1"/>
  <c r="E32" i="1" a="1"/>
  <c r="E32" i="1" s="1"/>
  <c r="H32" i="1" l="1"/>
  <c r="I32" i="1" a="1"/>
  <c r="I32" i="1" s="1"/>
  <c r="G34" i="1" a="1"/>
  <c r="G34" i="1" s="1"/>
  <c r="F35" i="1" s="1" a="1"/>
  <c r="F35" i="1" s="1"/>
  <c r="E33" i="1" a="1"/>
  <c r="E33" i="1" s="1"/>
  <c r="H33" i="1" l="1"/>
  <c r="I33" i="1" a="1"/>
  <c r="I33" i="1" s="1"/>
  <c r="G35" i="1" a="1"/>
  <c r="G35" i="1" s="1"/>
  <c r="F36" i="1" s="1" a="1"/>
  <c r="F36" i="1" s="1"/>
  <c r="E34" i="1" a="1"/>
  <c r="E34" i="1" s="1"/>
  <c r="H34" i="1" l="1"/>
  <c r="I34" i="1" a="1"/>
  <c r="I34" i="1" s="1"/>
  <c r="E35" i="1" a="1"/>
  <c r="E35" i="1" s="1"/>
  <c r="G36" i="1" a="1"/>
  <c r="G36" i="1" s="1"/>
  <c r="E36" i="1" s="1" a="1"/>
  <c r="E36" i="1" s="1"/>
  <c r="I36" i="1" s="1" a="1"/>
  <c r="I36" i="1" s="1"/>
  <c r="H35" i="1" l="1"/>
  <c r="H36" i="1" s="1"/>
  <c r="I35" i="1" a="1"/>
  <c r="I35" i="1" s="1"/>
  <c r="O4" i="1" s="1"/>
  <c r="F37" i="1" a="1"/>
  <c r="F37" i="1" s="1"/>
  <c r="G37" i="1" l="1" a="1"/>
  <c r="G37" i="1" s="1"/>
  <c r="E37" i="1" s="1" a="1"/>
  <c r="E37" i="1" s="1"/>
  <c r="H37" i="1" l="1"/>
  <c r="I37" i="1" a="1"/>
  <c r="I37" i="1" s="1"/>
  <c r="F38" i="1" a="1"/>
  <c r="F38" i="1" s="1"/>
  <c r="G38" i="1" s="1" a="1"/>
  <c r="G38" i="1" s="1"/>
  <c r="E38" i="1" s="1" a="1"/>
  <c r="E38" i="1" s="1"/>
  <c r="H38" i="1" l="1"/>
  <c r="I38" i="1" a="1"/>
  <c r="I38" i="1" s="1"/>
  <c r="F39" i="1" a="1"/>
  <c r="F39" i="1" s="1"/>
  <c r="G39" i="1" l="1" a="1"/>
  <c r="G39" i="1" s="1"/>
  <c r="F40" i="1" s="1" a="1"/>
  <c r="F40" i="1" s="1"/>
  <c r="G40" i="1" l="1" a="1"/>
  <c r="G40" i="1" s="1"/>
  <c r="E40" i="1" s="1" a="1"/>
  <c r="E40" i="1" s="1"/>
  <c r="I40" i="1" s="1" a="1"/>
  <c r="I40" i="1" s="1"/>
  <c r="E39" i="1" a="1"/>
  <c r="E39" i="1" s="1"/>
  <c r="H39" i="1" l="1"/>
  <c r="H40" i="1" s="1"/>
  <c r="I39" i="1" a="1"/>
  <c r="I39" i="1" s="1"/>
  <c r="F41" i="1" a="1"/>
  <c r="F41" i="1" s="1"/>
  <c r="G41" i="1" l="1" a="1"/>
  <c r="G41" i="1" s="1"/>
  <c r="E41" i="1" s="1" a="1"/>
  <c r="E41" i="1" s="1"/>
  <c r="H41" i="1" l="1"/>
  <c r="I41" i="1" a="1"/>
  <c r="I41" i="1" s="1"/>
  <c r="F42" i="1" a="1"/>
  <c r="F42" i="1" s="1"/>
  <c r="G42" i="1" s="1" a="1"/>
  <c r="G42" i="1" s="1"/>
  <c r="F43" i="1" l="1" a="1"/>
  <c r="F43" i="1" s="1"/>
  <c r="E42" i="1" a="1"/>
  <c r="E42" i="1" s="1"/>
  <c r="H42" i="1" l="1"/>
  <c r="I42" i="1" a="1"/>
  <c r="I42" i="1" s="1"/>
  <c r="G43" i="1" a="1"/>
  <c r="G43" i="1" s="1"/>
  <c r="E43" i="1" s="1" a="1"/>
  <c r="E43" i="1" s="1"/>
  <c r="H43" i="1" l="1"/>
  <c r="I43" i="1" a="1"/>
  <c r="I43" i="1" s="1"/>
  <c r="F44" i="1" a="1"/>
  <c r="F44" i="1" s="1"/>
  <c r="G44" i="1" l="1" a="1"/>
  <c r="G44" i="1" s="1"/>
  <c r="E44" i="1" s="1" a="1"/>
  <c r="E44" i="1" s="1"/>
  <c r="H44" i="1" l="1"/>
  <c r="I44" i="1" a="1"/>
  <c r="I44" i="1" s="1"/>
  <c r="F45" i="1" a="1"/>
  <c r="F45" i="1" s="1"/>
  <c r="G45" i="1" s="1" a="1"/>
  <c r="G45" i="1" s="1"/>
  <c r="F46" i="1" l="1" a="1"/>
  <c r="F46" i="1" s="1"/>
  <c r="G46" i="1" s="1" a="1"/>
  <c r="G46" i="1" s="1"/>
  <c r="E46" i="1" s="1" a="1"/>
  <c r="E46" i="1" s="1"/>
  <c r="E45" i="1" a="1"/>
  <c r="E45" i="1" s="1"/>
  <c r="H45" i="1" l="1"/>
  <c r="H46" i="1" s="1"/>
  <c r="I45" i="1" a="1"/>
  <c r="I45" i="1" s="1"/>
  <c r="I46" i="1" a="1"/>
  <c r="I46" i="1" s="1"/>
  <c r="F47" i="1" a="1"/>
  <c r="F47" i="1" s="1"/>
  <c r="G47" i="1" s="1" a="1"/>
  <c r="G47" i="1" s="1"/>
  <c r="F48" i="1" s="1" a="1"/>
  <c r="F48" i="1" s="1"/>
  <c r="G48" i="1" l="1" a="1"/>
  <c r="G48" i="1" s="1"/>
  <c r="F49" i="1" s="1" a="1"/>
  <c r="F49" i="1" s="1"/>
  <c r="E47" i="1" a="1"/>
  <c r="E47" i="1" s="1"/>
  <c r="H47" i="1" l="1"/>
  <c r="I47" i="1" a="1"/>
  <c r="I47" i="1" s="1"/>
  <c r="O5" i="1" s="1"/>
  <c r="G49" i="1" a="1"/>
  <c r="G49" i="1" s="1"/>
  <c r="E48" i="1" a="1"/>
  <c r="E48" i="1" s="1"/>
  <c r="P5" i="1" l="1"/>
  <c r="H48" i="1"/>
  <c r="I48" i="1" a="1"/>
  <c r="I48" i="1" s="1"/>
  <c r="F50" i="1" a="1"/>
  <c r="F50" i="1" s="1"/>
  <c r="E49" i="1" a="1"/>
  <c r="E49" i="1" s="1"/>
  <c r="Q5" i="1" l="1"/>
  <c r="H49" i="1"/>
  <c r="I49" i="1" a="1"/>
  <c r="I49" i="1" s="1"/>
  <c r="G50" i="1" a="1"/>
  <c r="G50" i="1" s="1"/>
  <c r="F51" i="1" s="1" a="1"/>
  <c r="F51" i="1" s="1"/>
  <c r="G51" i="1" l="1" a="1"/>
  <c r="G51" i="1" s="1"/>
  <c r="F52" i="1" s="1" a="1"/>
  <c r="F52" i="1" s="1"/>
  <c r="E50" i="1" a="1"/>
  <c r="E50" i="1" s="1"/>
  <c r="H50" i="1" l="1"/>
  <c r="I50" i="1" a="1"/>
  <c r="I50" i="1" s="1"/>
  <c r="E51" i="1" a="1"/>
  <c r="E51" i="1" s="1"/>
  <c r="G52" i="1" a="1"/>
  <c r="G52" i="1" s="1"/>
  <c r="F53" i="1" s="1" a="1"/>
  <c r="F53" i="1" s="1"/>
  <c r="H51" i="1" l="1"/>
  <c r="I51" i="1" a="1"/>
  <c r="I51" i="1" s="1"/>
  <c r="G53" i="1" a="1"/>
  <c r="G53" i="1" s="1"/>
  <c r="E53" i="1" s="1" a="1"/>
  <c r="E53" i="1" s="1"/>
  <c r="I53" i="1" s="1" a="1"/>
  <c r="I53" i="1" s="1"/>
  <c r="E52" i="1" a="1"/>
  <c r="E52" i="1" s="1"/>
  <c r="H52" i="1" l="1"/>
  <c r="H53" i="1" s="1"/>
  <c r="I52" i="1" a="1"/>
  <c r="I52" i="1" s="1"/>
  <c r="F54" i="1" a="1"/>
  <c r="F54" i="1" s="1"/>
  <c r="G54" i="1" l="1" a="1"/>
  <c r="G54" i="1" s="1"/>
  <c r="F55" i="1" l="1" a="1"/>
  <c r="F55" i="1" s="1"/>
  <c r="E54" i="1" a="1"/>
  <c r="E54" i="1" s="1"/>
  <c r="H54" i="1" l="1"/>
  <c r="I54" i="1" a="1"/>
  <c r="I54" i="1" s="1"/>
  <c r="G55" i="1" a="1"/>
  <c r="G55" i="1" s="1"/>
  <c r="F56" i="1" s="1" a="1"/>
  <c r="F56" i="1" s="1"/>
  <c r="E55" i="1" l="1" a="1"/>
  <c r="E55" i="1" s="1"/>
  <c r="G56" i="1" a="1"/>
  <c r="G56" i="1" s="1"/>
  <c r="F57" i="1" s="1" a="1"/>
  <c r="F57" i="1" s="1"/>
  <c r="H55" i="1" l="1"/>
  <c r="I55" i="1" a="1"/>
  <c r="I55" i="1" s="1"/>
  <c r="G57" i="1" a="1"/>
  <c r="G57" i="1" s="1"/>
  <c r="F58" i="1" s="1" a="1"/>
  <c r="F58" i="1" s="1"/>
  <c r="E56" i="1" a="1"/>
  <c r="E56" i="1" s="1"/>
  <c r="H56" i="1" l="1"/>
  <c r="I56" i="1" a="1"/>
  <c r="I56" i="1" s="1"/>
  <c r="G58" i="1" a="1"/>
  <c r="G58" i="1" s="1"/>
  <c r="E58" i="1" s="1" a="1"/>
  <c r="E58" i="1" s="1"/>
  <c r="I58" i="1" s="1" a="1"/>
  <c r="I58" i="1" s="1"/>
  <c r="E57" i="1" a="1"/>
  <c r="E57" i="1" s="1"/>
  <c r="H57" i="1" l="1"/>
  <c r="H58" i="1" s="1"/>
  <c r="I57" i="1" a="1"/>
  <c r="I57" i="1" s="1"/>
  <c r="F59" i="1" a="1"/>
  <c r="F59" i="1" s="1"/>
  <c r="G59" i="1" l="1" a="1"/>
  <c r="G59" i="1" s="1"/>
  <c r="F60" i="1" s="1" a="1"/>
  <c r="F60" i="1" s="1"/>
  <c r="G60" i="1" l="1" a="1"/>
  <c r="G60" i="1" s="1"/>
  <c r="E59" i="1" a="1"/>
  <c r="E59" i="1" s="1"/>
  <c r="H59" i="1" l="1"/>
  <c r="I59" i="1" a="1"/>
  <c r="I59" i="1" s="1"/>
  <c r="O6" i="1" s="1"/>
  <c r="F61" i="1" a="1"/>
  <c r="F61" i="1" s="1"/>
  <c r="E60" i="1" a="1"/>
  <c r="E60" i="1" s="1"/>
  <c r="H60" i="1" l="1"/>
  <c r="P6" i="1" s="1"/>
  <c r="I60" i="1" a="1"/>
  <c r="I60" i="1" s="1"/>
  <c r="G61" i="1" a="1"/>
  <c r="G61" i="1" s="1"/>
  <c r="F62" i="1" s="1" a="1"/>
  <c r="F62" i="1" s="1"/>
  <c r="Q6" i="1" l="1"/>
  <c r="G62" i="1" a="1"/>
  <c r="G62" i="1" s="1"/>
  <c r="F63" i="1" s="1" a="1"/>
  <c r="F63" i="1" s="1"/>
  <c r="E61" i="1" a="1"/>
  <c r="E61" i="1" s="1"/>
  <c r="H61" i="1" l="1"/>
  <c r="I61" i="1" a="1"/>
  <c r="I61" i="1" s="1"/>
  <c r="E62" i="1" a="1"/>
  <c r="E62" i="1" s="1"/>
  <c r="G63" i="1" a="1"/>
  <c r="G63" i="1" s="1"/>
  <c r="F64" i="1" s="1" a="1"/>
  <c r="F64" i="1" s="1"/>
  <c r="H62" i="1" l="1"/>
  <c r="I62" i="1" a="1"/>
  <c r="I62" i="1" s="1"/>
  <c r="G64" i="1" a="1"/>
  <c r="G64" i="1" s="1"/>
  <c r="E64" i="1" s="1" a="1"/>
  <c r="E64" i="1" s="1"/>
  <c r="I64" i="1" s="1" a="1"/>
  <c r="I64" i="1" s="1"/>
  <c r="E63" i="1" a="1"/>
  <c r="E63" i="1" s="1"/>
  <c r="H63" i="1" l="1"/>
  <c r="H64" i="1" s="1"/>
  <c r="I63" i="1" a="1"/>
  <c r="I63" i="1" s="1"/>
  <c r="F65" i="1" a="1"/>
  <c r="F65" i="1" s="1"/>
  <c r="G65" i="1" s="1" a="1"/>
  <c r="G65" i="1" s="1"/>
  <c r="E65" i="1" s="1" a="1"/>
  <c r="E65" i="1" s="1"/>
  <c r="I65" i="1" s="1" a="1"/>
  <c r="I65" i="1" s="1"/>
  <c r="F66" i="1" l="1" a="1"/>
  <c r="F66" i="1" s="1"/>
  <c r="H65" i="1"/>
  <c r="G66" i="1" l="1" a="1"/>
  <c r="G66" i="1" s="1"/>
  <c r="E66" i="1" s="1" a="1"/>
  <c r="E66" i="1" s="1"/>
  <c r="I66" i="1" s="1" a="1"/>
  <c r="I66" i="1" s="1"/>
  <c r="H66" i="1" l="1"/>
  <c r="F67" i="1" a="1"/>
  <c r="F67" i="1" s="1"/>
  <c r="G67" i="1" l="1" a="1"/>
  <c r="G67" i="1" s="1"/>
  <c r="F68" i="1" s="1" a="1"/>
  <c r="F68" i="1" s="1"/>
  <c r="G68" i="1" l="1" a="1"/>
  <c r="G68" i="1" s="1"/>
  <c r="F69" i="1" s="1" a="1"/>
  <c r="F69" i="1" s="1"/>
  <c r="E67" i="1" a="1"/>
  <c r="E67" i="1" s="1"/>
  <c r="H67" i="1" l="1"/>
  <c r="I67" i="1" a="1"/>
  <c r="I67" i="1" s="1"/>
  <c r="G69" i="1" a="1"/>
  <c r="G69" i="1" s="1"/>
  <c r="F70" i="1" s="1" a="1"/>
  <c r="F70" i="1" s="1"/>
  <c r="E68" i="1" a="1"/>
  <c r="E68" i="1" s="1"/>
  <c r="H68" i="1" l="1"/>
  <c r="I68" i="1" a="1"/>
  <c r="I68" i="1" s="1"/>
  <c r="G70" i="1" a="1"/>
  <c r="G70" i="1" s="1"/>
  <c r="E70" i="1" s="1" a="1"/>
  <c r="E70" i="1" s="1"/>
  <c r="I70" i="1" s="1" a="1"/>
  <c r="I70" i="1" s="1"/>
  <c r="E69" i="1" a="1"/>
  <c r="E69" i="1" s="1"/>
  <c r="H69" i="1" l="1"/>
  <c r="H70" i="1" s="1"/>
  <c r="I69" i="1" a="1"/>
  <c r="I69" i="1" s="1"/>
  <c r="F71" i="1" a="1"/>
  <c r="F71" i="1" s="1"/>
  <c r="G71" i="1" s="1" a="1"/>
  <c r="G71" i="1" s="1"/>
  <c r="F72" i="1" l="1" a="1"/>
  <c r="F72" i="1" s="1"/>
  <c r="G72" i="1" s="1" a="1"/>
  <c r="G72" i="1" s="1"/>
  <c r="E71" i="1" a="1"/>
  <c r="E71" i="1" s="1"/>
  <c r="H71" i="1" l="1"/>
  <c r="I71" i="1" a="1"/>
  <c r="I71" i="1" s="1"/>
  <c r="O7" i="1" s="1"/>
  <c r="E72" i="1" a="1"/>
  <c r="E72" i="1" s="1"/>
  <c r="F73" i="1" a="1"/>
  <c r="F73" i="1" s="1"/>
  <c r="H72" i="1" l="1"/>
  <c r="P7" i="1" s="1"/>
  <c r="I72" i="1" a="1"/>
  <c r="I72" i="1" s="1"/>
  <c r="G73" i="1" a="1"/>
  <c r="G73" i="1" s="1"/>
  <c r="F74" i="1" s="1" a="1"/>
  <c r="F74" i="1" s="1"/>
  <c r="Q7" i="1" l="1"/>
  <c r="E73" i="1" a="1"/>
  <c r="E73" i="1" s="1"/>
  <c r="G74" i="1" a="1"/>
  <c r="G74" i="1" s="1"/>
  <c r="F75" i="1" s="1" a="1"/>
  <c r="F75" i="1" s="1"/>
  <c r="H73" i="1" l="1"/>
  <c r="I73" i="1" a="1"/>
  <c r="I73" i="1" s="1"/>
  <c r="E74" i="1" a="1"/>
  <c r="E74" i="1" s="1"/>
  <c r="G75" i="1" a="1"/>
  <c r="G75" i="1" s="1"/>
  <c r="F76" i="1" s="1" a="1"/>
  <c r="F76" i="1" s="1"/>
  <c r="H74" i="1" l="1"/>
  <c r="I74" i="1" a="1"/>
  <c r="I74" i="1" s="1"/>
  <c r="E75" i="1" a="1"/>
  <c r="E75" i="1" s="1"/>
  <c r="G76" i="1" a="1"/>
  <c r="G76" i="1" s="1"/>
  <c r="F77" i="1" s="1" a="1"/>
  <c r="F77" i="1" s="1"/>
  <c r="H75" i="1" l="1"/>
  <c r="I75" i="1" a="1"/>
  <c r="I75" i="1" s="1"/>
  <c r="E76" i="1" a="1"/>
  <c r="E76" i="1" s="1"/>
  <c r="G77" i="1" a="1"/>
  <c r="G77" i="1" s="1"/>
  <c r="E77" i="1" s="1" a="1"/>
  <c r="E77" i="1" s="1"/>
  <c r="I77" i="1" s="1" a="1"/>
  <c r="I77" i="1" s="1"/>
  <c r="H76" i="1" l="1"/>
  <c r="H77" i="1" s="1"/>
  <c r="I76" i="1" a="1"/>
  <c r="I76" i="1" s="1"/>
  <c r="F78" i="1" a="1"/>
  <c r="F78" i="1" s="1"/>
  <c r="G78" i="1" l="1" a="1"/>
  <c r="G78" i="1" s="1"/>
  <c r="E78" i="1" s="1" a="1"/>
  <c r="E78" i="1" s="1"/>
  <c r="I78" i="1" s="1" a="1"/>
  <c r="I78" i="1" s="1"/>
  <c r="H78" i="1" l="1"/>
  <c r="F79" i="1" a="1"/>
  <c r="F79" i="1" s="1"/>
  <c r="G79" i="1" l="1" a="1"/>
  <c r="G79" i="1" s="1"/>
  <c r="F80" i="1" s="1" a="1"/>
  <c r="F80" i="1" s="1"/>
  <c r="E79" i="1" l="1" a="1"/>
  <c r="E79" i="1" s="1"/>
  <c r="G80" i="1" a="1"/>
  <c r="G80" i="1" s="1"/>
  <c r="F81" i="1" s="1" a="1"/>
  <c r="F81" i="1" s="1"/>
  <c r="H79" i="1" l="1"/>
  <c r="I79" i="1" a="1"/>
  <c r="I79" i="1" s="1"/>
  <c r="E80" i="1" a="1"/>
  <c r="E80" i="1" s="1"/>
  <c r="G81" i="1" a="1"/>
  <c r="G81" i="1" s="1"/>
  <c r="F82" i="1" s="1" a="1"/>
  <c r="F82" i="1" s="1"/>
  <c r="H80" i="1" l="1"/>
  <c r="I80" i="1" a="1"/>
  <c r="I80" i="1" s="1"/>
  <c r="E81" i="1" a="1"/>
  <c r="E81" i="1" s="1"/>
  <c r="G82" i="1" a="1"/>
  <c r="G82" i="1" s="1"/>
  <c r="E82" i="1" s="1" a="1"/>
  <c r="E82" i="1" s="1"/>
  <c r="I82" i="1" s="1" a="1"/>
  <c r="I82" i="1" s="1"/>
  <c r="H81" i="1" l="1"/>
  <c r="H82" i="1" s="1"/>
  <c r="I81" i="1" a="1"/>
  <c r="I81" i="1" s="1"/>
  <c r="F83" i="1" a="1"/>
  <c r="F83" i="1" s="1"/>
  <c r="G83" i="1" l="1" a="1"/>
  <c r="G83" i="1" s="1"/>
  <c r="E83" i="1" l="1" a="1"/>
  <c r="E83" i="1" s="1"/>
  <c r="F84" i="1" a="1"/>
  <c r="F84" i="1" s="1"/>
  <c r="H83" i="1" l="1"/>
  <c r="I83" i="1" a="1"/>
  <c r="I83" i="1" s="1"/>
  <c r="O8" i="1" s="1"/>
  <c r="G84" i="1" a="1"/>
  <c r="G84" i="1" s="1"/>
  <c r="E84" i="1" s="1" a="1"/>
  <c r="E84" i="1" s="1"/>
  <c r="I84" i="1" s="1" a="1"/>
  <c r="I84" i="1" s="1"/>
  <c r="H84" i="1" l="1"/>
  <c r="P8" i="1" s="1"/>
  <c r="F85" i="1" a="1"/>
  <c r="F85" i="1" s="1"/>
  <c r="Q8" i="1" l="1"/>
  <c r="G85" i="1" a="1"/>
  <c r="G85" i="1" s="1"/>
  <c r="F86" i="1" s="1" a="1"/>
  <c r="F86" i="1" s="1"/>
  <c r="E85" i="1" l="1" a="1"/>
  <c r="E85" i="1" s="1"/>
  <c r="G86" i="1" a="1"/>
  <c r="G86" i="1" s="1"/>
  <c r="F87" i="1" s="1" a="1"/>
  <c r="F87" i="1" s="1"/>
  <c r="H85" i="1" l="1"/>
  <c r="I85" i="1" a="1"/>
  <c r="I85" i="1" s="1"/>
  <c r="E86" i="1" a="1"/>
  <c r="E86" i="1" s="1"/>
  <c r="G87" i="1" a="1"/>
  <c r="G87" i="1" s="1"/>
  <c r="F88" i="1" s="1" a="1"/>
  <c r="F88" i="1" s="1"/>
  <c r="H86" i="1" l="1"/>
  <c r="I86" i="1" a="1"/>
  <c r="I86" i="1" s="1"/>
  <c r="E87" i="1" a="1"/>
  <c r="E87" i="1" s="1"/>
  <c r="G88" i="1" a="1"/>
  <c r="G88" i="1" s="1"/>
  <c r="E88" i="1" s="1" a="1"/>
  <c r="E88" i="1" s="1"/>
  <c r="I88" i="1" s="1" a="1"/>
  <c r="I88" i="1" s="1"/>
  <c r="H87" i="1" l="1"/>
  <c r="H88" i="1" s="1"/>
  <c r="I87" i="1" a="1"/>
  <c r="I87" i="1" s="1"/>
  <c r="F89" i="1" a="1"/>
  <c r="F89" i="1" s="1"/>
  <c r="G89" i="1" s="1" a="1"/>
  <c r="G89" i="1" s="1"/>
  <c r="E89" i="1" l="1" a="1"/>
  <c r="E89" i="1" s="1"/>
  <c r="F90" i="1" a="1"/>
  <c r="F90" i="1" s="1"/>
  <c r="H89" i="1" l="1"/>
  <c r="I89" i="1" a="1"/>
  <c r="I89" i="1" s="1"/>
  <c r="G90" i="1" a="1"/>
  <c r="G90" i="1" s="1"/>
  <c r="E90" i="1" l="1" a="1"/>
  <c r="E90" i="1" s="1"/>
  <c r="F91" i="1" a="1"/>
  <c r="F91" i="1" s="1"/>
  <c r="H90" i="1" l="1"/>
  <c r="I90" i="1" a="1"/>
  <c r="I90" i="1" s="1"/>
  <c r="G91" i="1" a="1"/>
  <c r="G91" i="1" s="1"/>
  <c r="F92" i="1" s="1" a="1"/>
  <c r="F92" i="1" s="1"/>
  <c r="E91" i="1" l="1" a="1"/>
  <c r="E91" i="1" s="1"/>
  <c r="G92" i="1" a="1"/>
  <c r="G92" i="1" s="1"/>
  <c r="F93" i="1" s="1" a="1"/>
  <c r="F93" i="1" s="1"/>
  <c r="H91" i="1" l="1"/>
  <c r="I91" i="1" a="1"/>
  <c r="I91" i="1" s="1"/>
  <c r="E92" i="1" a="1"/>
  <c r="E92" i="1" s="1"/>
  <c r="G93" i="1" a="1"/>
  <c r="G93" i="1" s="1"/>
  <c r="F94" i="1" s="1" a="1"/>
  <c r="F94" i="1" s="1"/>
  <c r="H92" i="1" l="1"/>
  <c r="I92" i="1" a="1"/>
  <c r="I92" i="1" s="1"/>
  <c r="E93" i="1" a="1"/>
  <c r="E93" i="1" s="1"/>
  <c r="G94" i="1" a="1"/>
  <c r="G94" i="1" s="1"/>
  <c r="E94" i="1" s="1" a="1"/>
  <c r="E94" i="1" s="1"/>
  <c r="I94" i="1" s="1" a="1"/>
  <c r="I94" i="1" s="1"/>
  <c r="H93" i="1" l="1"/>
  <c r="H94" i="1" s="1"/>
  <c r="I93" i="1" a="1"/>
  <c r="I93" i="1" s="1"/>
  <c r="F95" i="1" a="1"/>
  <c r="F95" i="1" s="1"/>
  <c r="G95" i="1" l="1" a="1"/>
  <c r="G95" i="1" s="1"/>
  <c r="E95" i="1" l="1" a="1"/>
  <c r="E95" i="1" s="1"/>
  <c r="F96" i="1" a="1"/>
  <c r="F96" i="1" s="1"/>
  <c r="H95" i="1" l="1"/>
  <c r="I95" i="1" a="1"/>
  <c r="I95" i="1" s="1"/>
  <c r="O9" i="1" s="1"/>
  <c r="G96" i="1" a="1"/>
  <c r="G96" i="1" s="1"/>
  <c r="E96" i="1" l="1" a="1"/>
  <c r="E96" i="1" s="1"/>
  <c r="F97" i="1" a="1"/>
  <c r="F97" i="1" s="1"/>
  <c r="H96" i="1" l="1"/>
  <c r="I96" i="1" a="1"/>
  <c r="I96" i="1" s="1"/>
  <c r="G97" i="1" a="1"/>
  <c r="G97" i="1" s="1"/>
  <c r="F98" i="1" s="1" a="1"/>
  <c r="F98" i="1" s="1"/>
  <c r="E97" i="1" l="1" a="1"/>
  <c r="E97" i="1" s="1"/>
  <c r="G98" i="1" a="1"/>
  <c r="G98" i="1" s="1"/>
  <c r="F99" i="1" s="1" a="1"/>
  <c r="F99" i="1" s="1"/>
  <c r="H97" i="1" l="1"/>
  <c r="P9" i="1" s="1"/>
  <c r="Q9" i="1" s="1"/>
  <c r="I97" i="1" a="1"/>
  <c r="I97" i="1" s="1"/>
  <c r="E98" i="1" a="1"/>
  <c r="E98" i="1" s="1"/>
  <c r="G99" i="1" a="1"/>
  <c r="G99" i="1" s="1"/>
  <c r="F100" i="1" s="1" a="1"/>
  <c r="F100" i="1" s="1"/>
  <c r="H98" i="1" l="1"/>
  <c r="I98" i="1" a="1"/>
  <c r="I98" i="1" s="1"/>
  <c r="E99" i="1" a="1"/>
  <c r="E99" i="1" s="1"/>
  <c r="G100" i="1" a="1"/>
  <c r="G100" i="1" s="1"/>
  <c r="F101" i="1" s="1" a="1"/>
  <c r="F101" i="1" s="1"/>
  <c r="H99" i="1" l="1"/>
  <c r="I99" i="1" a="1"/>
  <c r="I99" i="1" s="1"/>
  <c r="E100" i="1" a="1"/>
  <c r="E100" i="1" s="1"/>
  <c r="G101" i="1" a="1"/>
  <c r="G101" i="1" s="1"/>
  <c r="E101" i="1" s="1" a="1"/>
  <c r="E101" i="1" s="1"/>
  <c r="I101" i="1" s="1" a="1"/>
  <c r="I101" i="1" s="1"/>
  <c r="H100" i="1" l="1"/>
  <c r="H101" i="1" s="1"/>
  <c r="I100" i="1" a="1"/>
  <c r="I100" i="1" s="1"/>
  <c r="F102" i="1" a="1"/>
  <c r="F102" i="1" s="1"/>
  <c r="G102" i="1" l="1" a="1"/>
  <c r="G102" i="1" s="1"/>
  <c r="E102" i="1" l="1" a="1"/>
  <c r="E102" i="1" s="1"/>
  <c r="F103" i="1" a="1"/>
  <c r="F103" i="1" s="1"/>
  <c r="H102" i="1" l="1"/>
  <c r="I102" i="1" a="1"/>
  <c r="I102" i="1" s="1"/>
  <c r="G103" i="1" a="1"/>
  <c r="G103" i="1" s="1"/>
  <c r="F104" i="1" s="1" a="1"/>
  <c r="F104" i="1" s="1"/>
  <c r="E103" i="1" l="1" a="1"/>
  <c r="E103" i="1" s="1"/>
  <c r="G104" i="1" a="1"/>
  <c r="G104" i="1" s="1"/>
  <c r="F105" i="1" s="1" a="1"/>
  <c r="F105" i="1" s="1"/>
  <c r="H103" i="1" l="1"/>
  <c r="I103" i="1" a="1"/>
  <c r="I103" i="1" s="1"/>
  <c r="E104" i="1" a="1"/>
  <c r="E104" i="1" s="1"/>
  <c r="G105" i="1" a="1"/>
  <c r="G105" i="1" s="1"/>
  <c r="F106" i="1" s="1" a="1"/>
  <c r="F106" i="1" s="1"/>
  <c r="H104" i="1" l="1"/>
  <c r="I104" i="1" a="1"/>
  <c r="I104" i="1" s="1"/>
  <c r="E105" i="1" a="1"/>
  <c r="E105" i="1" s="1"/>
  <c r="G106" i="1" a="1"/>
  <c r="G106" i="1" s="1"/>
  <c r="E106" i="1" s="1" a="1"/>
  <c r="E106" i="1" s="1"/>
  <c r="I106" i="1" s="1" a="1"/>
  <c r="I106" i="1" s="1"/>
  <c r="H105" i="1" l="1"/>
  <c r="H106" i="1" s="1"/>
  <c r="I105" i="1" a="1"/>
  <c r="I105" i="1" s="1"/>
  <c r="F107" i="1" a="1"/>
  <c r="F107" i="1" s="1"/>
  <c r="G107" i="1" l="1" a="1"/>
  <c r="G107" i="1" s="1"/>
  <c r="E107" i="1" l="1" a="1"/>
  <c r="E107" i="1" s="1"/>
  <c r="F108" i="1" a="1"/>
  <c r="F108" i="1" s="1"/>
  <c r="H107" i="1" l="1"/>
  <c r="I107" i="1" a="1"/>
  <c r="I107" i="1" s="1"/>
  <c r="O10" i="1" s="1"/>
  <c r="G108" i="1" a="1"/>
  <c r="G108" i="1" s="1"/>
  <c r="E108" i="1" l="1" a="1"/>
  <c r="E108" i="1" s="1"/>
  <c r="F109" i="1" a="1"/>
  <c r="F109" i="1" s="1"/>
  <c r="H108" i="1" l="1"/>
  <c r="I108" i="1" a="1"/>
  <c r="I108" i="1" s="1"/>
  <c r="G109" i="1" a="1"/>
  <c r="G109" i="1" s="1"/>
  <c r="F110" i="1" s="1" a="1"/>
  <c r="F110" i="1" s="1"/>
  <c r="E109" i="1" l="1" a="1"/>
  <c r="E109" i="1" s="1"/>
  <c r="G110" i="1" a="1"/>
  <c r="G110" i="1" s="1"/>
  <c r="E110" i="1" s="1" a="1"/>
  <c r="E110" i="1" s="1"/>
  <c r="I110" i="1" s="1" a="1"/>
  <c r="I110" i="1" s="1"/>
  <c r="H109" i="1" l="1"/>
  <c r="H110" i="1" s="1"/>
  <c r="I109" i="1" a="1"/>
  <c r="I109" i="1" s="1"/>
  <c r="P10" i="1" s="1"/>
  <c r="Q10" i="1" s="1"/>
  <c r="F111" i="1" a="1"/>
  <c r="F111" i="1" s="1"/>
  <c r="G111" i="1" l="1" a="1"/>
  <c r="G111" i="1" s="1"/>
  <c r="E111" i="1" l="1" a="1"/>
  <c r="E111" i="1" s="1"/>
  <c r="F112" i="1" a="1"/>
  <c r="F112" i="1" s="1"/>
  <c r="H111" i="1" l="1"/>
  <c r="I111" i="1" a="1"/>
  <c r="I111" i="1" s="1"/>
  <c r="G112" i="1" a="1"/>
  <c r="G112" i="1" s="1"/>
  <c r="E112" i="1" l="1" a="1"/>
  <c r="E112" i="1" s="1"/>
  <c r="F113" i="1" a="1"/>
  <c r="F113" i="1" s="1"/>
  <c r="H112" i="1" l="1"/>
  <c r="I112" i="1" a="1"/>
  <c r="I112" i="1" s="1"/>
  <c r="G113" i="1" a="1"/>
  <c r="G113" i="1" s="1"/>
  <c r="E113" i="1" l="1" a="1"/>
  <c r="E113" i="1" s="1"/>
  <c r="F114" i="1" a="1"/>
  <c r="F114" i="1" s="1"/>
  <c r="H113" i="1" l="1"/>
  <c r="I113" i="1" a="1"/>
  <c r="I113" i="1" s="1"/>
  <c r="G114" i="1" a="1"/>
  <c r="G114" i="1" s="1"/>
  <c r="E114" i="1" l="1" a="1"/>
  <c r="E114" i="1" s="1"/>
  <c r="F115" i="1" a="1"/>
  <c r="F115" i="1" s="1"/>
  <c r="H114" i="1" l="1"/>
  <c r="I114" i="1" a="1"/>
  <c r="I114" i="1" s="1"/>
  <c r="G115" i="1" a="1"/>
  <c r="G115" i="1" s="1"/>
  <c r="F116" i="1" s="1" a="1"/>
  <c r="F116" i="1" s="1"/>
  <c r="E115" i="1" l="1" a="1"/>
  <c r="E115" i="1" s="1"/>
  <c r="G116" i="1" a="1"/>
  <c r="G116" i="1" s="1"/>
  <c r="F117" i="1" s="1" a="1"/>
  <c r="F117" i="1" s="1"/>
  <c r="H115" i="1" l="1"/>
  <c r="I115" i="1" a="1"/>
  <c r="I115" i="1" s="1"/>
  <c r="E116" i="1" a="1"/>
  <c r="E116" i="1" s="1"/>
  <c r="G117" i="1" a="1"/>
  <c r="G117" i="1" s="1"/>
  <c r="E117" i="1" s="1" a="1"/>
  <c r="E117" i="1" s="1"/>
  <c r="I117" i="1" s="1" a="1"/>
  <c r="I117" i="1" s="1"/>
  <c r="H116" i="1" l="1"/>
  <c r="H117" i="1" s="1"/>
  <c r="I116" i="1" a="1"/>
  <c r="I116" i="1" s="1"/>
  <c r="F118" i="1" a="1"/>
  <c r="F118" i="1" s="1"/>
  <c r="G118" i="1" s="1" a="1"/>
  <c r="G118" i="1" s="1"/>
  <c r="E118" i="1" l="1" a="1"/>
  <c r="E118" i="1" s="1"/>
  <c r="F119" i="1" a="1"/>
  <c r="F119" i="1" s="1"/>
  <c r="H118" i="1" l="1"/>
  <c r="I118" i="1" a="1"/>
  <c r="I118" i="1" s="1"/>
  <c r="G119" i="1" a="1"/>
  <c r="G119" i="1" s="1"/>
  <c r="E119" i="1" l="1" a="1"/>
  <c r="E119" i="1" s="1"/>
  <c r="F120" i="1" a="1"/>
  <c r="F120" i="1" s="1"/>
  <c r="H119" i="1" l="1"/>
  <c r="I119" i="1" a="1"/>
  <c r="I119" i="1" s="1"/>
  <c r="O11" i="1" s="1"/>
  <c r="G120" i="1" a="1"/>
  <c r="G120" i="1" s="1"/>
  <c r="E120" i="1" l="1" a="1"/>
  <c r="E120" i="1" s="1"/>
  <c r="F121" i="1" a="1"/>
  <c r="F121" i="1" s="1"/>
  <c r="H120" i="1" l="1"/>
  <c r="I120" i="1" a="1"/>
  <c r="I120" i="1" s="1"/>
  <c r="G121" i="1" a="1"/>
  <c r="G121" i="1" s="1"/>
  <c r="F122" i="1" s="1" a="1"/>
  <c r="F122" i="1" s="1"/>
  <c r="E121" i="1" l="1" a="1"/>
  <c r="E121" i="1" s="1"/>
  <c r="G122" i="1" a="1"/>
  <c r="G122" i="1" s="1"/>
  <c r="F123" i="1" s="1" a="1"/>
  <c r="F123" i="1" s="1"/>
  <c r="H121" i="1" l="1"/>
  <c r="I121" i="1" a="1"/>
  <c r="I121" i="1" s="1"/>
  <c r="E122" i="1" a="1"/>
  <c r="E122" i="1" s="1"/>
  <c r="G123" i="1" a="1"/>
  <c r="G123" i="1" s="1"/>
  <c r="H122" i="1" l="1"/>
  <c r="I122" i="1" a="1"/>
  <c r="I122" i="1" s="1"/>
  <c r="F124" i="1" a="1"/>
  <c r="F124" i="1" s="1"/>
  <c r="G124" i="1" s="1" a="1"/>
  <c r="G124" i="1" s="1"/>
  <c r="E123" i="1" a="1"/>
  <c r="E123" i="1" s="1"/>
  <c r="H123" i="1" l="1"/>
  <c r="P11" i="1" s="1"/>
  <c r="Q11" i="1" s="1"/>
  <c r="I123" i="1" a="1"/>
  <c r="I123" i="1" s="1"/>
  <c r="E124" i="1" a="1"/>
  <c r="E124" i="1" s="1"/>
  <c r="F125" i="1" a="1"/>
  <c r="F125" i="1" s="1"/>
  <c r="H124" i="1" l="1"/>
  <c r="I124" i="1" a="1"/>
  <c r="I124" i="1" s="1"/>
  <c r="G125" i="1" a="1"/>
  <c r="G125" i="1" s="1"/>
  <c r="E125" i="1" l="1" a="1"/>
  <c r="E125" i="1" s="1"/>
  <c r="F126" i="1" a="1"/>
  <c r="F126" i="1" s="1"/>
  <c r="H125" i="1" l="1"/>
  <c r="I125" i="1" a="1"/>
  <c r="I125" i="1" s="1"/>
  <c r="G126" i="1" a="1"/>
  <c r="G126" i="1" s="1"/>
  <c r="E126" i="1" l="1" a="1"/>
  <c r="E126" i="1" s="1"/>
  <c r="F127" i="1" a="1"/>
  <c r="F127" i="1" s="1"/>
  <c r="H126" i="1" l="1"/>
  <c r="I126" i="1" a="1"/>
  <c r="I126" i="1" s="1"/>
  <c r="G127" i="1" a="1"/>
  <c r="G127" i="1" s="1"/>
  <c r="F128" i="1" s="1" a="1"/>
  <c r="F128" i="1" s="1"/>
  <c r="E127" i="1" l="1" a="1"/>
  <c r="E127" i="1" s="1"/>
  <c r="G128" i="1" a="1"/>
  <c r="G128" i="1" s="1"/>
  <c r="F129" i="1" s="1" a="1"/>
  <c r="F129" i="1" s="1"/>
  <c r="H127" i="1" l="1"/>
  <c r="I127" i="1" a="1"/>
  <c r="I127" i="1" s="1"/>
  <c r="E128" i="1" a="1"/>
  <c r="E128" i="1" s="1"/>
  <c r="G129" i="1" a="1"/>
  <c r="G129" i="1" s="1"/>
  <c r="F130" i="1" s="1" a="1"/>
  <c r="F130" i="1" s="1"/>
  <c r="H128" i="1" l="1"/>
  <c r="I128" i="1" a="1"/>
  <c r="I128" i="1" s="1"/>
  <c r="E129" i="1" a="1"/>
  <c r="E129" i="1" s="1"/>
  <c r="G130" i="1" a="1"/>
  <c r="G130" i="1" s="1"/>
  <c r="E130" i="1" s="1" a="1"/>
  <c r="E130" i="1" s="1"/>
  <c r="I130" i="1" s="1" a="1"/>
  <c r="I130" i="1" s="1"/>
  <c r="H129" i="1" l="1"/>
  <c r="H130" i="1" s="1"/>
  <c r="I129" i="1" a="1"/>
  <c r="I129" i="1" s="1"/>
  <c r="F131" i="1" a="1"/>
  <c r="F131" i="1" s="1"/>
  <c r="G131" i="1" l="1" a="1"/>
  <c r="G131" i="1" s="1"/>
  <c r="E131" i="1" l="1" a="1"/>
  <c r="E131" i="1" s="1"/>
  <c r="F132" i="1" a="1"/>
  <c r="F132" i="1" s="1"/>
  <c r="H131" i="1" l="1"/>
  <c r="I131" i="1" a="1"/>
  <c r="I131" i="1" s="1"/>
  <c r="O12" i="1" s="1"/>
  <c r="G132" i="1" a="1"/>
  <c r="G132" i="1" s="1"/>
  <c r="E132" i="1" l="1" a="1"/>
  <c r="E132" i="1" s="1"/>
  <c r="F133" i="1" a="1"/>
  <c r="F133" i="1" s="1"/>
  <c r="H132" i="1" l="1"/>
  <c r="I132" i="1" a="1"/>
  <c r="I132" i="1" s="1"/>
  <c r="G133" i="1" a="1"/>
  <c r="G133" i="1" s="1"/>
  <c r="F134" i="1" s="1" a="1"/>
  <c r="F134" i="1" s="1"/>
  <c r="E133" i="1" l="1" a="1"/>
  <c r="E133" i="1" s="1"/>
  <c r="G134" i="1" a="1"/>
  <c r="G134" i="1" s="1"/>
  <c r="F135" i="1" s="1" a="1"/>
  <c r="F135" i="1" s="1"/>
  <c r="H133" i="1" l="1"/>
  <c r="I133" i="1" a="1"/>
  <c r="I133" i="1" s="1"/>
  <c r="E134" i="1" a="1"/>
  <c r="E134" i="1" s="1"/>
  <c r="G135" i="1" a="1"/>
  <c r="G135" i="1" s="1"/>
  <c r="F136" i="1" s="1" a="1"/>
  <c r="F136" i="1" s="1"/>
  <c r="H134" i="1" l="1"/>
  <c r="I134" i="1" a="1"/>
  <c r="I134" i="1" s="1"/>
  <c r="E135" i="1" a="1"/>
  <c r="E135" i="1" s="1"/>
  <c r="G136" i="1" a="1"/>
  <c r="G136" i="1" s="1"/>
  <c r="E136" i="1" s="1" a="1"/>
  <c r="E136" i="1" s="1"/>
  <c r="I136" i="1" s="1" a="1"/>
  <c r="I136" i="1" s="1"/>
  <c r="H135" i="1" l="1"/>
  <c r="H136" i="1" s="1"/>
  <c r="I135" i="1" a="1"/>
  <c r="I135" i="1" s="1"/>
  <c r="P12" i="1" s="1"/>
  <c r="Q12" i="1" s="1"/>
  <c r="F137" i="1" a="1"/>
  <c r="F137" i="1" s="1"/>
  <c r="G137" i="1" l="1" a="1"/>
  <c r="G137" i="1" s="1"/>
  <c r="E137" i="1" l="1" a="1"/>
  <c r="E137" i="1" s="1"/>
  <c r="F138" i="1" a="1"/>
  <c r="F138" i="1" s="1"/>
  <c r="H137" i="1" l="1"/>
  <c r="I137" i="1" a="1"/>
  <c r="I137" i="1" s="1"/>
  <c r="G138" i="1" a="1"/>
  <c r="G138" i="1" s="1"/>
  <c r="E138" i="1" l="1" a="1"/>
  <c r="E138" i="1" s="1"/>
  <c r="F139" i="1" a="1"/>
  <c r="F139" i="1" s="1"/>
  <c r="H138" i="1" l="1"/>
  <c r="I138" i="1" a="1"/>
  <c r="I138" i="1" s="1"/>
  <c r="G139" i="1" a="1"/>
  <c r="G139" i="1" s="1"/>
  <c r="F140" i="1" s="1" a="1"/>
  <c r="F140" i="1" s="1"/>
  <c r="E139" i="1" l="1" a="1"/>
  <c r="E139" i="1" s="1"/>
  <c r="G140" i="1" a="1"/>
  <c r="G140" i="1" s="1"/>
  <c r="F141" i="1" s="1" a="1"/>
  <c r="F141" i="1" s="1"/>
  <c r="H139" i="1" l="1"/>
  <c r="I139" i="1" a="1"/>
  <c r="I139" i="1" s="1"/>
  <c r="E140" i="1" a="1"/>
  <c r="E140" i="1" s="1"/>
  <c r="G141" i="1" a="1"/>
  <c r="G141" i="1" s="1"/>
  <c r="F142" i="1" s="1" a="1"/>
  <c r="F142" i="1" s="1"/>
  <c r="H140" i="1" l="1"/>
  <c r="I140" i="1" a="1"/>
  <c r="I140" i="1" s="1"/>
  <c r="E141" i="1" a="1"/>
  <c r="E141" i="1" s="1"/>
  <c r="G142" i="1" a="1"/>
  <c r="G142" i="1" s="1"/>
  <c r="E142" i="1" s="1" a="1"/>
  <c r="E142" i="1" s="1"/>
  <c r="I142" i="1" s="1" a="1"/>
  <c r="I142" i="1" s="1"/>
  <c r="H141" i="1" l="1"/>
  <c r="H142" i="1" s="1"/>
  <c r="I141" i="1" a="1"/>
  <c r="I141" i="1" s="1"/>
  <c r="F143" i="1" a="1"/>
  <c r="F143" i="1" s="1"/>
  <c r="G143" i="1" l="1" a="1"/>
  <c r="G143" i="1" s="1"/>
  <c r="E143" i="1" l="1" a="1"/>
  <c r="E143" i="1" s="1"/>
  <c r="F144" i="1" a="1"/>
  <c r="F144" i="1" s="1"/>
  <c r="H143" i="1" l="1"/>
  <c r="I143" i="1" a="1"/>
  <c r="I143" i="1" s="1"/>
  <c r="O13" i="1" s="1"/>
  <c r="G144" i="1" a="1"/>
  <c r="G144" i="1" s="1"/>
  <c r="E144" i="1" l="1" a="1"/>
  <c r="E144" i="1" s="1"/>
  <c r="F145" i="1" a="1"/>
  <c r="F145" i="1" s="1"/>
  <c r="H144" i="1" l="1"/>
  <c r="I144" i="1" a="1"/>
  <c r="I144" i="1" s="1"/>
  <c r="G145" i="1" a="1"/>
  <c r="G145" i="1" s="1"/>
  <c r="F146" i="1" s="1" a="1"/>
  <c r="F146" i="1" s="1"/>
  <c r="E145" i="1" l="1" a="1"/>
  <c r="E145" i="1" s="1"/>
  <c r="G146" i="1" a="1"/>
  <c r="G146" i="1" s="1"/>
  <c r="F147" i="1" s="1" a="1"/>
  <c r="F147" i="1" s="1"/>
  <c r="H145" i="1" l="1"/>
  <c r="I145" i="1" a="1"/>
  <c r="I145" i="1" s="1"/>
  <c r="E146" i="1" a="1"/>
  <c r="E146" i="1" s="1"/>
  <c r="G147" i="1" a="1"/>
  <c r="G147" i="1" s="1"/>
  <c r="F148" i="1" s="1" a="1"/>
  <c r="F148" i="1" s="1"/>
  <c r="H146" i="1" l="1"/>
  <c r="I146" i="1" a="1"/>
  <c r="I146" i="1" s="1"/>
  <c r="E147" i="1" a="1"/>
  <c r="E147" i="1" s="1"/>
  <c r="G148" i="1" a="1"/>
  <c r="G148" i="1" s="1"/>
  <c r="F149" i="1" s="1" a="1"/>
  <c r="F149" i="1" s="1"/>
  <c r="H147" i="1" l="1"/>
  <c r="I147" i="1" a="1"/>
  <c r="I147" i="1" s="1"/>
  <c r="E148" i="1" a="1"/>
  <c r="E148" i="1" s="1"/>
  <c r="G149" i="1" a="1"/>
  <c r="G149" i="1" s="1"/>
  <c r="E149" i="1" s="1" a="1"/>
  <c r="E149" i="1" s="1"/>
  <c r="I149" i="1" s="1" a="1"/>
  <c r="I149" i="1" s="1"/>
  <c r="H148" i="1" l="1"/>
  <c r="I148" i="1" a="1"/>
  <c r="I148" i="1" s="1"/>
  <c r="F150" i="1" a="1"/>
  <c r="F150" i="1" s="1"/>
  <c r="H149" i="1" l="1"/>
  <c r="P13" i="1"/>
  <c r="Q13" i="1" s="1"/>
  <c r="G150" i="1" a="1"/>
  <c r="G150" i="1" s="1"/>
  <c r="E150" i="1" l="1" a="1"/>
  <c r="E150" i="1" s="1"/>
  <c r="F151" i="1" a="1"/>
  <c r="F151" i="1" s="1"/>
  <c r="H150" i="1" l="1"/>
  <c r="I150" i="1" a="1"/>
  <c r="I150" i="1" s="1"/>
  <c r="G151" i="1" a="1"/>
  <c r="G151" i="1" s="1"/>
  <c r="E151" i="1" l="1" a="1"/>
  <c r="E151" i="1" s="1"/>
  <c r="F152" i="1" a="1"/>
  <c r="F152" i="1" s="1"/>
  <c r="H151" i="1" l="1"/>
  <c r="I151" i="1" a="1"/>
  <c r="I151" i="1" s="1"/>
  <c r="G152" i="1" a="1"/>
  <c r="G152" i="1" s="1"/>
  <c r="E152" i="1" l="1" a="1"/>
  <c r="E152" i="1" s="1"/>
  <c r="F153" i="1" a="1"/>
  <c r="F153" i="1" s="1"/>
  <c r="H152" i="1" l="1"/>
  <c r="I152" i="1" a="1"/>
  <c r="I152" i="1" s="1"/>
  <c r="G153" i="1" a="1"/>
  <c r="G153" i="1" s="1"/>
  <c r="F154" i="1" s="1" a="1"/>
  <c r="F154" i="1" s="1"/>
  <c r="E153" i="1" l="1" a="1"/>
  <c r="E153" i="1" s="1"/>
  <c r="G154" i="1" a="1"/>
  <c r="G154" i="1" s="1"/>
  <c r="E154" i="1" s="1" a="1"/>
  <c r="E154" i="1" s="1"/>
  <c r="I154" i="1" s="1" a="1"/>
  <c r="I154" i="1" s="1"/>
  <c r="H153" i="1" l="1"/>
  <c r="H154" i="1" s="1"/>
  <c r="I153" i="1" a="1"/>
  <c r="I153" i="1" s="1"/>
  <c r="F155" i="1" a="1"/>
  <c r="F155" i="1" s="1"/>
  <c r="G155" i="1" l="1" a="1"/>
  <c r="G155" i="1" s="1"/>
  <c r="E155" i="1" l="1" a="1"/>
  <c r="E155" i="1" s="1"/>
  <c r="F156" i="1" a="1"/>
  <c r="F156" i="1" s="1"/>
  <c r="H155" i="1" l="1"/>
  <c r="I155" i="1" a="1"/>
  <c r="I155" i="1" s="1"/>
  <c r="O14" i="1" s="1"/>
  <c r="G156" i="1" a="1"/>
  <c r="G156" i="1" s="1"/>
  <c r="E156" i="1" l="1" a="1"/>
  <c r="E156" i="1" s="1"/>
  <c r="F157" i="1" a="1"/>
  <c r="F157" i="1" s="1"/>
  <c r="H156" i="1" l="1"/>
  <c r="I156" i="1" a="1"/>
  <c r="I156" i="1" s="1"/>
  <c r="G157" i="1" a="1"/>
  <c r="G157" i="1" s="1"/>
  <c r="F158" i="1" s="1" a="1"/>
  <c r="F158" i="1" s="1"/>
  <c r="E157" i="1" l="1" a="1"/>
  <c r="E157" i="1" s="1"/>
  <c r="G158" i="1" a="1"/>
  <c r="G158" i="1" s="1"/>
  <c r="E158" i="1" s="1" a="1"/>
  <c r="E158" i="1" s="1"/>
  <c r="I158" i="1" s="1" a="1"/>
  <c r="I158" i="1" s="1"/>
  <c r="H157" i="1" l="1"/>
  <c r="H158" i="1" s="1"/>
  <c r="I157" i="1" a="1"/>
  <c r="I157" i="1" s="1"/>
  <c r="F159" i="1" a="1"/>
  <c r="F159" i="1" s="1"/>
  <c r="G159" i="1" l="1" a="1"/>
  <c r="G159" i="1" s="1"/>
  <c r="F160" i="1" s="1" a="1"/>
  <c r="F160" i="1" s="1"/>
  <c r="E159" i="1" l="1" a="1"/>
  <c r="E159" i="1" s="1"/>
  <c r="G160" i="1" a="1"/>
  <c r="G160" i="1" s="1"/>
  <c r="E160" i="1" s="1" a="1"/>
  <c r="E160" i="1" s="1"/>
  <c r="I160" i="1" s="1" a="1"/>
  <c r="I160" i="1" s="1"/>
  <c r="H159" i="1" l="1"/>
  <c r="H160" i="1" s="1"/>
  <c r="I159" i="1" a="1"/>
  <c r="I159" i="1" s="1"/>
  <c r="P14" i="1" s="1"/>
  <c r="Q14" i="1" s="1"/>
  <c r="F161" i="1" a="1"/>
  <c r="F161" i="1" s="1"/>
  <c r="G161" i="1" l="1" a="1"/>
  <c r="G161" i="1" s="1"/>
  <c r="E161" i="1" l="1" a="1"/>
  <c r="E161" i="1" s="1"/>
  <c r="F162" i="1" a="1"/>
  <c r="F162" i="1" s="1"/>
  <c r="H161" i="1" l="1"/>
  <c r="I161" i="1" a="1"/>
  <c r="I161" i="1" s="1"/>
  <c r="G162" i="1" a="1"/>
  <c r="G162" i="1" s="1"/>
  <c r="E162" i="1" l="1" a="1"/>
  <c r="E162" i="1" s="1"/>
  <c r="F163" i="1" a="1"/>
  <c r="F163" i="1" s="1"/>
  <c r="H162" i="1" l="1"/>
  <c r="I162" i="1" a="1"/>
  <c r="I162" i="1" s="1"/>
  <c r="G163" i="1" a="1"/>
  <c r="G163" i="1" s="1"/>
  <c r="F164" i="1" s="1" a="1"/>
  <c r="F164" i="1" s="1"/>
  <c r="E163" i="1" l="1" a="1"/>
  <c r="E163" i="1" s="1"/>
  <c r="G164" i="1" a="1"/>
  <c r="G164" i="1" s="1"/>
  <c r="F165" i="1" s="1" a="1"/>
  <c r="F165" i="1" s="1"/>
  <c r="H163" i="1" l="1"/>
  <c r="I163" i="1" a="1"/>
  <c r="I163" i="1" s="1"/>
  <c r="E164" i="1" a="1"/>
  <c r="E164" i="1" s="1"/>
  <c r="G165" i="1" a="1"/>
  <c r="G165" i="1" s="1"/>
  <c r="F166" i="1" s="1" a="1"/>
  <c r="F166" i="1" s="1"/>
  <c r="H164" i="1" l="1"/>
  <c r="I164" i="1" a="1"/>
  <c r="I164" i="1" s="1"/>
  <c r="E165" i="1" a="1"/>
  <c r="E165" i="1" s="1"/>
  <c r="G166" i="1" a="1"/>
  <c r="G166" i="1" s="1"/>
  <c r="E166" i="1" s="1" a="1"/>
  <c r="E166" i="1" s="1"/>
  <c r="I166" i="1" s="1" a="1"/>
  <c r="I166" i="1" s="1"/>
  <c r="H165" i="1" l="1"/>
  <c r="H166" i="1" s="1"/>
  <c r="I165" i="1" a="1"/>
  <c r="I165" i="1" s="1"/>
  <c r="F167" i="1" a="1"/>
  <c r="F167" i="1" s="1"/>
  <c r="G167" i="1" l="1" a="1"/>
  <c r="G167" i="1" s="1"/>
  <c r="E167" i="1" l="1" a="1"/>
  <c r="E167" i="1" s="1"/>
  <c r="F168" i="1" a="1"/>
  <c r="F168" i="1" s="1"/>
  <c r="H167" i="1" l="1"/>
  <c r="I167" i="1" a="1"/>
  <c r="I167" i="1" s="1"/>
  <c r="O15" i="1" s="1"/>
  <c r="G168" i="1" a="1"/>
  <c r="G168" i="1" s="1"/>
  <c r="E168" i="1" l="1" a="1"/>
  <c r="E168" i="1" s="1"/>
  <c r="F169" i="1" a="1"/>
  <c r="F169" i="1" s="1"/>
  <c r="H168" i="1" l="1"/>
  <c r="I168" i="1" a="1"/>
  <c r="I168" i="1" s="1"/>
  <c r="G169" i="1" a="1"/>
  <c r="G169" i="1" s="1"/>
  <c r="F170" i="1" s="1" a="1"/>
  <c r="F170" i="1" s="1"/>
  <c r="E169" i="1" l="1" a="1"/>
  <c r="E169" i="1" s="1"/>
  <c r="G170" i="1" a="1"/>
  <c r="G170" i="1" s="1"/>
  <c r="F171" i="1" s="1" a="1"/>
  <c r="F171" i="1" s="1"/>
  <c r="H169" i="1" l="1"/>
  <c r="I169" i="1" a="1"/>
  <c r="I169" i="1" s="1"/>
  <c r="E170" i="1" a="1"/>
  <c r="E170" i="1" s="1"/>
  <c r="G171" i="1" a="1"/>
  <c r="G171" i="1" s="1"/>
  <c r="F172" i="1" s="1" a="1"/>
  <c r="F172" i="1" s="1"/>
  <c r="H170" i="1" l="1"/>
  <c r="I170" i="1" a="1"/>
  <c r="I170" i="1" s="1"/>
  <c r="E171" i="1" a="1"/>
  <c r="E171" i="1" s="1"/>
  <c r="G172" i="1" a="1"/>
  <c r="G172" i="1" s="1"/>
  <c r="E172" i="1" s="1" a="1"/>
  <c r="E172" i="1" s="1"/>
  <c r="I172" i="1" s="1" a="1"/>
  <c r="I172" i="1" s="1"/>
  <c r="H171" i="1" l="1"/>
  <c r="H172" i="1" s="1"/>
  <c r="I171" i="1" a="1"/>
  <c r="I171" i="1" s="1"/>
  <c r="P15" i="1" s="1"/>
  <c r="Q15" i="1" s="1"/>
  <c r="F173" i="1" a="1"/>
  <c r="F173" i="1" s="1"/>
  <c r="G173" i="1" l="1" a="1"/>
  <c r="G173" i="1" s="1"/>
  <c r="E173" i="1" l="1" a="1"/>
  <c r="E173" i="1" s="1"/>
  <c r="F174" i="1" a="1"/>
  <c r="F174" i="1" s="1"/>
  <c r="H173" i="1" l="1"/>
  <c r="I173" i="1" a="1"/>
  <c r="I173" i="1" s="1"/>
  <c r="G174" i="1" a="1"/>
  <c r="G174" i="1" s="1"/>
  <c r="E174" i="1" l="1" a="1"/>
  <c r="E174" i="1" s="1"/>
  <c r="F175" i="1" a="1"/>
  <c r="F175" i="1" s="1"/>
  <c r="H174" i="1" l="1"/>
  <c r="I174" i="1" a="1"/>
  <c r="I174" i="1" s="1"/>
  <c r="G175" i="1" a="1"/>
  <c r="G175" i="1" s="1"/>
  <c r="F176" i="1" s="1" a="1"/>
  <c r="F176" i="1" s="1"/>
  <c r="E175" i="1" l="1" a="1"/>
  <c r="E175" i="1" s="1"/>
  <c r="G176" i="1" a="1"/>
  <c r="G176" i="1" s="1"/>
  <c r="F177" i="1" s="1" a="1"/>
  <c r="F177" i="1" s="1"/>
  <c r="H175" i="1" l="1"/>
  <c r="I175" i="1" a="1"/>
  <c r="I175" i="1" s="1"/>
  <c r="E176" i="1" a="1"/>
  <c r="E176" i="1" s="1"/>
  <c r="G177" i="1" a="1"/>
  <c r="G177" i="1" s="1"/>
  <c r="F178" i="1" s="1" a="1"/>
  <c r="F178" i="1" s="1"/>
  <c r="H176" i="1" l="1"/>
  <c r="I176" i="1" a="1"/>
  <c r="I176" i="1" s="1"/>
  <c r="E177" i="1" a="1"/>
  <c r="E177" i="1" s="1"/>
  <c r="G178" i="1" a="1"/>
  <c r="G178" i="1" s="1"/>
  <c r="E178" i="1" s="1" a="1"/>
  <c r="E178" i="1" s="1"/>
  <c r="I178" i="1" s="1" a="1"/>
  <c r="I178" i="1" s="1"/>
  <c r="H177" i="1" l="1"/>
  <c r="H178" i="1" s="1"/>
  <c r="I177" i="1" a="1"/>
  <c r="I177" i="1" s="1"/>
  <c r="F179" i="1" a="1"/>
  <c r="F179" i="1" s="1"/>
  <c r="G179" i="1" l="1" a="1"/>
  <c r="G179" i="1" s="1"/>
  <c r="E179" i="1" l="1" a="1"/>
  <c r="E179" i="1" s="1"/>
  <c r="F180" i="1" a="1"/>
  <c r="F180" i="1" s="1"/>
  <c r="H179" i="1" l="1"/>
  <c r="I179" i="1" a="1"/>
  <c r="I179" i="1" s="1"/>
  <c r="O16" i="1" s="1"/>
  <c r="G180" i="1" a="1"/>
  <c r="G180" i="1" s="1"/>
  <c r="E180" i="1" l="1" a="1"/>
  <c r="E180" i="1" s="1"/>
  <c r="F181" i="1" a="1"/>
  <c r="F181" i="1" s="1"/>
  <c r="H180" i="1" l="1"/>
  <c r="I180" i="1" a="1"/>
  <c r="I180" i="1" s="1"/>
  <c r="G181" i="1" a="1"/>
  <c r="G181" i="1" s="1"/>
  <c r="F182" i="1" s="1" a="1"/>
  <c r="F182" i="1" s="1"/>
  <c r="E181" i="1" l="1" a="1"/>
  <c r="E181" i="1" s="1"/>
  <c r="G182" i="1" a="1"/>
  <c r="G182" i="1" s="1"/>
  <c r="F183" i="1" s="1" a="1"/>
  <c r="F183" i="1" s="1"/>
  <c r="H181" i="1" l="1"/>
  <c r="I181" i="1" a="1"/>
  <c r="I181" i="1" s="1"/>
  <c r="E182" i="1" a="1"/>
  <c r="E182" i="1" s="1"/>
  <c r="G183" i="1" a="1"/>
  <c r="G183" i="1" s="1"/>
  <c r="F184" i="1" s="1" a="1"/>
  <c r="F184" i="1" s="1"/>
  <c r="H182" i="1" l="1"/>
  <c r="I182" i="1" a="1"/>
  <c r="I182" i="1" s="1"/>
  <c r="E183" i="1" a="1"/>
  <c r="E183" i="1" s="1"/>
  <c r="G184" i="1" a="1"/>
  <c r="G184" i="1" s="1"/>
  <c r="E184" i="1" s="1" a="1"/>
  <c r="E184" i="1" s="1"/>
  <c r="I184" i="1" s="1" a="1"/>
  <c r="I184" i="1" s="1"/>
  <c r="H183" i="1" l="1"/>
  <c r="H184" i="1" s="1"/>
  <c r="I183" i="1" a="1"/>
  <c r="I183" i="1" s="1"/>
  <c r="P16" i="1" s="1"/>
  <c r="Q16" i="1" s="1"/>
  <c r="F185" i="1" a="1"/>
  <c r="F185" i="1" s="1"/>
  <c r="G185" i="1" l="1" a="1"/>
  <c r="G185" i="1" s="1"/>
  <c r="E185" i="1" l="1" a="1"/>
  <c r="E185" i="1" s="1"/>
  <c r="F186" i="1" a="1"/>
  <c r="F186" i="1" s="1"/>
  <c r="H185" i="1" l="1"/>
  <c r="I185" i="1" a="1"/>
  <c r="I185" i="1" s="1"/>
  <c r="G186" i="1" a="1"/>
  <c r="G186" i="1" s="1"/>
  <c r="E186" i="1" l="1" a="1"/>
  <c r="E186" i="1" s="1"/>
  <c r="F187" i="1" a="1"/>
  <c r="F187" i="1" s="1"/>
  <c r="H186" i="1" l="1"/>
  <c r="I186" i="1" a="1"/>
  <c r="I186" i="1" s="1"/>
  <c r="G187" i="1" a="1"/>
  <c r="G187" i="1" s="1"/>
  <c r="F188" i="1" s="1" a="1"/>
  <c r="F188" i="1" s="1"/>
  <c r="E187" i="1" l="1" a="1"/>
  <c r="E187" i="1" s="1"/>
  <c r="G188" i="1" a="1"/>
  <c r="G188" i="1" s="1"/>
  <c r="F189" i="1" s="1" a="1"/>
  <c r="F189" i="1" s="1"/>
  <c r="H187" i="1" l="1"/>
  <c r="I187" i="1" a="1"/>
  <c r="I187" i="1" s="1"/>
  <c r="E188" i="1" a="1"/>
  <c r="E188" i="1" s="1"/>
  <c r="G189" i="1" a="1"/>
  <c r="G189" i="1" s="1"/>
  <c r="F190" i="1" s="1" a="1"/>
  <c r="F190" i="1" s="1"/>
  <c r="H188" i="1" l="1"/>
  <c r="I188" i="1" a="1"/>
  <c r="I188" i="1" s="1"/>
  <c r="E189" i="1" a="1"/>
  <c r="E189" i="1" s="1"/>
  <c r="G190" i="1" a="1"/>
  <c r="G190" i="1" s="1"/>
  <c r="E190" i="1" s="1" a="1"/>
  <c r="E190" i="1" s="1"/>
  <c r="I190" i="1" s="1" a="1"/>
  <c r="I190" i="1" s="1"/>
  <c r="H189" i="1" l="1"/>
  <c r="H190" i="1" s="1"/>
  <c r="I189" i="1" a="1"/>
  <c r="I189" i="1" s="1"/>
  <c r="F191" i="1" a="1"/>
  <c r="F191" i="1" s="1"/>
  <c r="G191" i="1" l="1" a="1"/>
  <c r="G191" i="1" s="1"/>
  <c r="E191" i="1" l="1" a="1"/>
  <c r="E191" i="1" s="1"/>
  <c r="F192" i="1" a="1"/>
  <c r="F192" i="1" s="1"/>
  <c r="H191" i="1" l="1"/>
  <c r="I191" i="1" a="1"/>
  <c r="I191" i="1" s="1"/>
  <c r="O17" i="1" s="1"/>
  <c r="G192" i="1" a="1"/>
  <c r="G192" i="1" s="1"/>
  <c r="E192" i="1" l="1" a="1"/>
  <c r="E192" i="1" s="1"/>
  <c r="F193" i="1" a="1"/>
  <c r="F193" i="1" s="1"/>
  <c r="H192" i="1" l="1"/>
  <c r="I192" i="1" a="1"/>
  <c r="I192" i="1" s="1"/>
  <c r="G193" i="1" a="1"/>
  <c r="G193" i="1" s="1"/>
  <c r="F194" i="1" s="1" a="1"/>
  <c r="F194" i="1" s="1"/>
  <c r="E193" i="1" l="1" a="1"/>
  <c r="E193" i="1" s="1"/>
  <c r="G194" i="1" a="1"/>
  <c r="G194" i="1" s="1"/>
  <c r="F195" i="1" s="1" a="1"/>
  <c r="F195" i="1" s="1"/>
  <c r="H193" i="1" l="1"/>
  <c r="I193" i="1" a="1"/>
  <c r="I193" i="1" s="1"/>
  <c r="E194" i="1" a="1"/>
  <c r="E194" i="1" s="1"/>
  <c r="G195" i="1" a="1"/>
  <c r="G195" i="1" s="1"/>
  <c r="F196" i="1" s="1" a="1"/>
  <c r="F196" i="1" s="1"/>
  <c r="H194" i="1" l="1"/>
  <c r="I194" i="1" a="1"/>
  <c r="I194" i="1" s="1"/>
  <c r="E195" i="1" a="1"/>
  <c r="E195" i="1" s="1"/>
  <c r="G196" i="1" a="1"/>
  <c r="G196" i="1" s="1"/>
  <c r="F197" i="1" s="1" a="1"/>
  <c r="F197" i="1" s="1"/>
  <c r="H195" i="1" l="1"/>
  <c r="I195" i="1" a="1"/>
  <c r="I195" i="1" s="1"/>
  <c r="E196" i="1" a="1"/>
  <c r="E196" i="1" s="1"/>
  <c r="G197" i="1" a="1"/>
  <c r="G197" i="1" s="1"/>
  <c r="E197" i="1" s="1" a="1"/>
  <c r="E197" i="1" s="1"/>
  <c r="I197" i="1" s="1" a="1"/>
  <c r="I197" i="1" s="1"/>
  <c r="H196" i="1" l="1"/>
  <c r="I196" i="1" a="1"/>
  <c r="I196" i="1" s="1"/>
  <c r="F198" i="1" a="1"/>
  <c r="F198" i="1" s="1"/>
  <c r="H197" i="1" l="1"/>
  <c r="P17" i="1"/>
  <c r="Q17" i="1" s="1"/>
  <c r="G198" i="1" a="1"/>
  <c r="G198" i="1" s="1"/>
  <c r="E198" i="1" l="1" a="1"/>
  <c r="E198" i="1" s="1"/>
  <c r="F199" i="1" a="1"/>
  <c r="F199" i="1" s="1"/>
  <c r="H198" i="1" l="1"/>
  <c r="I198" i="1" a="1"/>
  <c r="I198" i="1" s="1"/>
  <c r="G199" i="1" a="1"/>
  <c r="G199" i="1" s="1"/>
  <c r="F200" i="1" s="1" a="1"/>
  <c r="F200" i="1" s="1"/>
  <c r="E199" i="1" l="1" a="1"/>
  <c r="E199" i="1" s="1"/>
  <c r="G200" i="1" a="1"/>
  <c r="G200" i="1" s="1"/>
  <c r="F201" i="1" s="1" a="1"/>
  <c r="F201" i="1" s="1"/>
  <c r="H199" i="1" l="1"/>
  <c r="I199" i="1" a="1"/>
  <c r="I199" i="1" s="1"/>
  <c r="E200" i="1" a="1"/>
  <c r="E200" i="1" s="1"/>
  <c r="G201" i="1" a="1"/>
  <c r="G201" i="1" s="1"/>
  <c r="F202" i="1" s="1" a="1"/>
  <c r="F202" i="1" s="1"/>
  <c r="H200" i="1" l="1"/>
  <c r="I200" i="1" a="1"/>
  <c r="I200" i="1" s="1"/>
  <c r="E201" i="1" a="1"/>
  <c r="E201" i="1" s="1"/>
  <c r="G202" i="1" a="1"/>
  <c r="G202" i="1" s="1"/>
  <c r="E202" i="1" s="1" a="1"/>
  <c r="E202" i="1" s="1"/>
  <c r="I202" i="1" s="1" a="1"/>
  <c r="I202" i="1" s="1"/>
  <c r="H201" i="1" l="1"/>
  <c r="H202" i="1" s="1"/>
  <c r="I201" i="1" a="1"/>
  <c r="I201" i="1" s="1"/>
  <c r="F203" i="1" a="1"/>
  <c r="F203" i="1" s="1"/>
  <c r="G203" i="1" l="1" a="1"/>
  <c r="G203" i="1" s="1"/>
  <c r="E203" i="1" l="1" a="1"/>
  <c r="E203" i="1" s="1"/>
  <c r="F204" i="1" a="1"/>
  <c r="F204" i="1" s="1"/>
  <c r="H203" i="1" l="1"/>
  <c r="I203" i="1" a="1"/>
  <c r="I203" i="1" s="1"/>
  <c r="O18" i="1" s="1"/>
  <c r="G204" i="1" a="1"/>
  <c r="G204" i="1" s="1"/>
  <c r="E204" i="1" l="1" a="1"/>
  <c r="E204" i="1" s="1"/>
  <c r="F205" i="1" a="1"/>
  <c r="F205" i="1" s="1"/>
  <c r="H204" i="1" l="1"/>
  <c r="I204" i="1" a="1"/>
  <c r="I204" i="1" s="1"/>
  <c r="G205" i="1" a="1"/>
  <c r="G205" i="1" s="1"/>
  <c r="F206" i="1" s="1" a="1"/>
  <c r="F206" i="1" s="1"/>
  <c r="E205" i="1" l="1" a="1"/>
  <c r="E205" i="1" s="1"/>
  <c r="G206" i="1" a="1"/>
  <c r="G206" i="1" s="1"/>
  <c r="F207" i="1" s="1" a="1"/>
  <c r="F207" i="1" s="1"/>
  <c r="H205" i="1" l="1"/>
  <c r="I205" i="1" a="1"/>
  <c r="I205" i="1" s="1"/>
  <c r="E206" i="1" a="1"/>
  <c r="E206" i="1" s="1"/>
  <c r="G207" i="1" a="1"/>
  <c r="G207" i="1" s="1"/>
  <c r="F208" i="1" s="1" a="1"/>
  <c r="F208" i="1" s="1"/>
  <c r="H206" i="1" l="1"/>
  <c r="I206" i="1" a="1"/>
  <c r="I206" i="1" s="1"/>
  <c r="E207" i="1" a="1"/>
  <c r="E207" i="1" s="1"/>
  <c r="G208" i="1" a="1"/>
  <c r="G208" i="1" s="1"/>
  <c r="E208" i="1" s="1" a="1"/>
  <c r="E208" i="1" s="1"/>
  <c r="I208" i="1" s="1" a="1"/>
  <c r="I208" i="1" s="1"/>
  <c r="H207" i="1" l="1"/>
  <c r="H208" i="1" s="1"/>
  <c r="I207" i="1" a="1"/>
  <c r="I207" i="1" s="1"/>
  <c r="P18" i="1" s="1"/>
  <c r="Q18" i="1" s="1"/>
  <c r="F209" i="1" a="1"/>
  <c r="F209" i="1" s="1"/>
  <c r="G209" i="1" l="1" a="1"/>
  <c r="G209" i="1" s="1"/>
  <c r="E209" i="1" l="1" a="1"/>
  <c r="E209" i="1" s="1"/>
  <c r="F210" i="1" a="1"/>
  <c r="F210" i="1" s="1"/>
  <c r="H209" i="1" l="1"/>
  <c r="I209" i="1" a="1"/>
  <c r="I209" i="1" s="1"/>
  <c r="G210" i="1" a="1"/>
  <c r="G210" i="1" s="1"/>
  <c r="E210" i="1" l="1" a="1"/>
  <c r="E210" i="1" s="1"/>
  <c r="F211" i="1" a="1"/>
  <c r="F211" i="1" s="1"/>
  <c r="H210" i="1" l="1"/>
  <c r="I210" i="1" a="1"/>
  <c r="I210" i="1" s="1"/>
  <c r="G211" i="1" a="1"/>
  <c r="G211" i="1" s="1"/>
  <c r="F212" i="1" s="1" a="1"/>
  <c r="F212" i="1" s="1"/>
  <c r="E211" i="1" l="1" a="1"/>
  <c r="E211" i="1" s="1"/>
  <c r="G212" i="1" a="1"/>
  <c r="G212" i="1" s="1"/>
  <c r="F213" i="1" s="1" a="1"/>
  <c r="F213" i="1" s="1"/>
  <c r="H211" i="1" l="1"/>
  <c r="I211" i="1" a="1"/>
  <c r="I211" i="1" s="1"/>
  <c r="E212" i="1" a="1"/>
  <c r="E212" i="1" s="1"/>
  <c r="G213" i="1" a="1"/>
  <c r="G213" i="1" s="1"/>
  <c r="F214" i="1" s="1" a="1"/>
  <c r="F214" i="1" s="1"/>
  <c r="H212" i="1" l="1"/>
  <c r="I212" i="1" a="1"/>
  <c r="I212" i="1" s="1"/>
  <c r="E213" i="1" a="1"/>
  <c r="E213" i="1" s="1"/>
  <c r="G214" i="1" a="1"/>
  <c r="G214" i="1" s="1"/>
  <c r="E214" i="1" s="1" a="1"/>
  <c r="E214" i="1" s="1"/>
  <c r="I214" i="1" s="1" a="1"/>
  <c r="I214" i="1" s="1"/>
  <c r="H213" i="1" l="1"/>
  <c r="H214" i="1" s="1"/>
  <c r="I213" i="1" a="1"/>
  <c r="I213" i="1" s="1"/>
  <c r="F215" i="1" a="1"/>
  <c r="F215" i="1" s="1"/>
  <c r="G215" i="1" l="1" a="1"/>
  <c r="G215" i="1" s="1"/>
  <c r="E215" i="1" l="1" a="1"/>
  <c r="E215" i="1" s="1"/>
  <c r="F216" i="1" a="1"/>
  <c r="F216" i="1" s="1"/>
  <c r="H215" i="1" l="1"/>
  <c r="I215" i="1" a="1"/>
  <c r="I215" i="1" s="1"/>
  <c r="O19" i="1" s="1"/>
  <c r="G216" i="1" a="1"/>
  <c r="G216" i="1" s="1"/>
  <c r="E216" i="1" l="1" a="1"/>
  <c r="E216" i="1" s="1"/>
  <c r="F217" i="1" a="1"/>
  <c r="F217" i="1" s="1"/>
  <c r="H216" i="1" l="1"/>
  <c r="I216" i="1" a="1"/>
  <c r="I216" i="1" s="1"/>
  <c r="G217" i="1" a="1"/>
  <c r="G217" i="1" s="1"/>
  <c r="F218" i="1" s="1" a="1"/>
  <c r="F218" i="1" s="1"/>
  <c r="E217" i="1" l="1" a="1"/>
  <c r="E217" i="1" s="1"/>
  <c r="G218" i="1" a="1"/>
  <c r="G218" i="1" s="1"/>
  <c r="F219" i="1" s="1" a="1"/>
  <c r="F219" i="1" s="1"/>
  <c r="H217" i="1" l="1"/>
  <c r="I217" i="1" a="1"/>
  <c r="I217" i="1" s="1"/>
  <c r="E218" i="1" a="1"/>
  <c r="E218" i="1" s="1"/>
  <c r="G219" i="1" a="1"/>
  <c r="G219" i="1" s="1"/>
  <c r="F220" i="1" s="1" a="1"/>
  <c r="F220" i="1" s="1"/>
  <c r="H218" i="1" l="1"/>
  <c r="I218" i="1" a="1"/>
  <c r="I218" i="1" s="1"/>
  <c r="E219" i="1" a="1"/>
  <c r="E219" i="1" s="1"/>
  <c r="G220" i="1" a="1"/>
  <c r="G220" i="1" s="1"/>
  <c r="F221" i="1" s="1" a="1"/>
  <c r="F221" i="1" s="1"/>
  <c r="H219" i="1" l="1"/>
  <c r="I219" i="1" a="1"/>
  <c r="I219" i="1" s="1"/>
  <c r="E220" i="1" a="1"/>
  <c r="E220" i="1" s="1"/>
  <c r="G221" i="1" a="1"/>
  <c r="G221" i="1" s="1"/>
  <c r="E221" i="1" s="1" a="1"/>
  <c r="E221" i="1" s="1"/>
  <c r="I221" i="1" s="1" a="1"/>
  <c r="I221" i="1" s="1"/>
  <c r="H220" i="1" l="1"/>
  <c r="I220" i="1" a="1"/>
  <c r="I220" i="1" s="1"/>
  <c r="F222" i="1" a="1"/>
  <c r="F222" i="1" s="1"/>
  <c r="H221" i="1" l="1"/>
  <c r="P19" i="1"/>
  <c r="Q19" i="1" s="1"/>
  <c r="G222" i="1" a="1"/>
  <c r="G222" i="1" s="1"/>
  <c r="E222" i="1" l="1" a="1"/>
  <c r="E222" i="1" s="1"/>
  <c r="F223" i="1" a="1"/>
  <c r="F223" i="1" s="1"/>
  <c r="H222" i="1" l="1"/>
  <c r="I222" i="1" a="1"/>
  <c r="I222" i="1" s="1"/>
  <c r="G223" i="1" a="1"/>
  <c r="G223" i="1" s="1"/>
  <c r="F224" i="1" s="1" a="1"/>
  <c r="F224" i="1" s="1"/>
  <c r="E223" i="1" l="1" a="1"/>
  <c r="E223" i="1" s="1"/>
  <c r="G224" i="1" a="1"/>
  <c r="G224" i="1" s="1"/>
  <c r="F225" i="1" s="1" a="1"/>
  <c r="F225" i="1" s="1"/>
  <c r="H223" i="1" l="1"/>
  <c r="I223" i="1" a="1"/>
  <c r="I223" i="1" s="1"/>
  <c r="E224" i="1" a="1"/>
  <c r="E224" i="1" s="1"/>
  <c r="G225" i="1" a="1"/>
  <c r="G225" i="1" s="1"/>
  <c r="F226" i="1" s="1" a="1"/>
  <c r="F226" i="1" s="1"/>
  <c r="H224" i="1" l="1"/>
  <c r="I224" i="1" a="1"/>
  <c r="I224" i="1" s="1"/>
  <c r="E225" i="1" a="1"/>
  <c r="E225" i="1" s="1"/>
  <c r="G226" i="1" a="1"/>
  <c r="G226" i="1" s="1"/>
  <c r="E226" i="1" s="1" a="1"/>
  <c r="E226" i="1" s="1"/>
  <c r="I226" i="1" s="1" a="1"/>
  <c r="I226" i="1" s="1"/>
  <c r="H225" i="1" l="1"/>
  <c r="H226" i="1" s="1"/>
  <c r="I225" i="1" a="1"/>
  <c r="I225" i="1" s="1"/>
  <c r="F227" i="1" a="1"/>
  <c r="F227" i="1" s="1"/>
  <c r="G227" i="1" l="1" a="1"/>
  <c r="G227" i="1" s="1"/>
  <c r="E227" i="1" l="1" a="1"/>
  <c r="E227" i="1" s="1"/>
  <c r="F228" i="1" a="1"/>
  <c r="F228" i="1" s="1"/>
  <c r="H227" i="1" l="1"/>
  <c r="I227" i="1" a="1"/>
  <c r="I227" i="1" s="1"/>
  <c r="O20" i="1" s="1"/>
  <c r="G228" i="1" a="1"/>
  <c r="G228" i="1" s="1"/>
  <c r="E228" i="1" l="1" a="1"/>
  <c r="E228" i="1" s="1"/>
  <c r="F229" i="1" a="1"/>
  <c r="F229" i="1" s="1"/>
  <c r="H228" i="1" l="1"/>
  <c r="I228" i="1" a="1"/>
  <c r="I228" i="1" s="1"/>
  <c r="G229" i="1" a="1"/>
  <c r="G229" i="1" s="1"/>
  <c r="F230" i="1" s="1" a="1"/>
  <c r="F230" i="1" s="1"/>
  <c r="E229" i="1" l="1" a="1"/>
  <c r="E229" i="1" s="1"/>
  <c r="G230" i="1" a="1"/>
  <c r="G230" i="1" s="1"/>
  <c r="F231" i="1" s="1" a="1"/>
  <c r="F231" i="1" s="1"/>
  <c r="H229" i="1" l="1"/>
  <c r="I229" i="1" a="1"/>
  <c r="I229" i="1" s="1"/>
  <c r="E230" i="1" a="1"/>
  <c r="E230" i="1" s="1"/>
  <c r="G231" i="1" a="1"/>
  <c r="G231" i="1" s="1"/>
  <c r="F232" i="1" s="1" a="1"/>
  <c r="F232" i="1" s="1"/>
  <c r="H230" i="1" l="1"/>
  <c r="I230" i="1" a="1"/>
  <c r="I230" i="1" s="1"/>
  <c r="E231" i="1" a="1"/>
  <c r="E231" i="1" s="1"/>
  <c r="G232" i="1" a="1"/>
  <c r="G232" i="1" s="1"/>
  <c r="E232" i="1" s="1" a="1"/>
  <c r="E232" i="1" s="1"/>
  <c r="I232" i="1" s="1" a="1"/>
  <c r="I232" i="1" s="1"/>
  <c r="H231" i="1" l="1"/>
  <c r="H232" i="1" s="1"/>
  <c r="I231" i="1" a="1"/>
  <c r="I231" i="1" s="1"/>
  <c r="P20" i="1" s="1"/>
  <c r="Q20" i="1" s="1"/>
  <c r="F233" i="1" a="1"/>
  <c r="F233" i="1" s="1"/>
  <c r="G233" i="1" l="1" a="1"/>
  <c r="G233" i="1" s="1"/>
  <c r="E233" i="1" l="1" a="1"/>
  <c r="E233" i="1" s="1"/>
  <c r="F234" i="1" a="1"/>
  <c r="F234" i="1" s="1"/>
  <c r="H233" i="1" l="1"/>
  <c r="I233" i="1" a="1"/>
  <c r="I233" i="1" s="1"/>
  <c r="G234" i="1" a="1"/>
  <c r="G234" i="1" s="1"/>
  <c r="E234" i="1" l="1" a="1"/>
  <c r="E234" i="1" s="1"/>
  <c r="F235" i="1" a="1"/>
  <c r="F235" i="1" s="1"/>
  <c r="H234" i="1" l="1"/>
  <c r="I234" i="1" a="1"/>
  <c r="I234" i="1" s="1"/>
  <c r="G235" i="1" a="1"/>
  <c r="G235" i="1" s="1"/>
  <c r="F236" i="1" s="1" a="1"/>
  <c r="F236" i="1" s="1"/>
  <c r="E235" i="1" l="1" a="1"/>
  <c r="E235" i="1" s="1"/>
  <c r="G236" i="1" a="1"/>
  <c r="G236" i="1" s="1"/>
  <c r="F237" i="1" s="1" a="1"/>
  <c r="F237" i="1" s="1"/>
  <c r="H235" i="1" l="1"/>
  <c r="I235" i="1" a="1"/>
  <c r="I235" i="1" s="1"/>
  <c r="E236" i="1" a="1"/>
  <c r="E236" i="1" s="1"/>
  <c r="G237" i="1" a="1"/>
  <c r="G237" i="1" s="1"/>
  <c r="F238" i="1" s="1" a="1"/>
  <c r="F238" i="1" s="1"/>
  <c r="H236" i="1" l="1"/>
  <c r="I236" i="1" a="1"/>
  <c r="I236" i="1" s="1"/>
  <c r="E237" i="1" a="1"/>
  <c r="E237" i="1" s="1"/>
  <c r="G238" i="1" a="1"/>
  <c r="G238" i="1" s="1"/>
  <c r="E238" i="1" s="1" a="1"/>
  <c r="E238" i="1" s="1"/>
  <c r="I238" i="1" s="1" a="1"/>
  <c r="I238" i="1" s="1"/>
  <c r="H237" i="1" l="1"/>
  <c r="H238" i="1" s="1"/>
  <c r="I237" i="1" a="1"/>
  <c r="I237" i="1" s="1"/>
  <c r="F239" i="1" a="1"/>
  <c r="F239" i="1" s="1"/>
  <c r="G239" i="1" l="1" a="1"/>
  <c r="G239" i="1" s="1"/>
  <c r="E239" i="1" l="1" a="1"/>
  <c r="E239" i="1" s="1"/>
  <c r="F240" i="1" a="1"/>
  <c r="F240" i="1" s="1"/>
  <c r="H239" i="1" l="1"/>
  <c r="I239" i="1" a="1"/>
  <c r="I239" i="1" s="1"/>
  <c r="O21" i="1" s="1"/>
  <c r="G240" i="1" a="1"/>
  <c r="G240" i="1" s="1"/>
  <c r="E240" i="1" l="1" a="1"/>
  <c r="E240" i="1" s="1"/>
  <c r="F241" i="1" a="1"/>
  <c r="F241" i="1" s="1"/>
  <c r="H240" i="1" l="1"/>
  <c r="I240" i="1" a="1"/>
  <c r="I240" i="1" s="1"/>
  <c r="G241" i="1" a="1"/>
  <c r="G241" i="1" s="1"/>
  <c r="F242" i="1" s="1" a="1"/>
  <c r="F242" i="1" s="1"/>
  <c r="E241" i="1" l="1" a="1"/>
  <c r="E241" i="1" s="1"/>
  <c r="G242" i="1" a="1"/>
  <c r="G242" i="1" s="1"/>
  <c r="F243" i="1" s="1" a="1"/>
  <c r="F243" i="1" s="1"/>
  <c r="H241" i="1" l="1"/>
  <c r="I241" i="1" a="1"/>
  <c r="I241" i="1" s="1"/>
  <c r="E242" i="1" a="1"/>
  <c r="E242" i="1" s="1"/>
  <c r="G243" i="1" a="1"/>
  <c r="G243" i="1" s="1"/>
  <c r="F244" i="1" s="1" a="1"/>
  <c r="F244" i="1" s="1"/>
  <c r="H242" i="1" l="1"/>
  <c r="I242" i="1" a="1"/>
  <c r="I242" i="1" s="1"/>
  <c r="E243" i="1" a="1"/>
  <c r="E243" i="1" s="1"/>
  <c r="G244" i="1" a="1"/>
  <c r="G244" i="1" s="1"/>
  <c r="F245" i="1" s="1" a="1"/>
  <c r="F245" i="1" s="1"/>
  <c r="H243" i="1" l="1"/>
  <c r="I243" i="1" a="1"/>
  <c r="I243" i="1" s="1"/>
  <c r="E244" i="1" a="1"/>
  <c r="E244" i="1" s="1"/>
  <c r="G245" i="1" a="1"/>
  <c r="G245" i="1" s="1"/>
  <c r="E245" i="1" s="1" a="1"/>
  <c r="E245" i="1" s="1"/>
  <c r="I245" i="1" s="1" a="1"/>
  <c r="I245" i="1" s="1"/>
  <c r="H244" i="1" l="1"/>
  <c r="I244" i="1" a="1"/>
  <c r="I244" i="1" s="1"/>
  <c r="F246" i="1" a="1"/>
  <c r="F246" i="1" s="1"/>
  <c r="H245" i="1" l="1"/>
  <c r="P21" i="1"/>
  <c r="Q21" i="1" s="1"/>
  <c r="G246" i="1" a="1"/>
  <c r="G246" i="1" s="1"/>
  <c r="E246" i="1" l="1" a="1"/>
  <c r="E246" i="1" s="1"/>
  <c r="F247" i="1" a="1"/>
  <c r="F247" i="1" s="1"/>
  <c r="H246" i="1" l="1"/>
  <c r="I246" i="1" a="1"/>
  <c r="I246" i="1" s="1"/>
  <c r="G247" i="1" a="1"/>
  <c r="G247" i="1" s="1"/>
  <c r="F248" i="1" s="1" a="1"/>
  <c r="F248" i="1" s="1"/>
  <c r="E247" i="1" l="1" a="1"/>
  <c r="E247" i="1" s="1"/>
  <c r="G248" i="1" a="1"/>
  <c r="G248" i="1" s="1"/>
  <c r="F249" i="1" s="1" a="1"/>
  <c r="F249" i="1" s="1"/>
  <c r="H247" i="1" l="1"/>
  <c r="I247" i="1" a="1"/>
  <c r="I247" i="1" s="1"/>
  <c r="E248" i="1" a="1"/>
  <c r="E248" i="1" s="1"/>
  <c r="G249" i="1" a="1"/>
  <c r="G249" i="1" s="1"/>
  <c r="F250" i="1" s="1" a="1"/>
  <c r="F250" i="1" s="1"/>
  <c r="H248" i="1" l="1"/>
  <c r="I248" i="1" a="1"/>
  <c r="I248" i="1" s="1"/>
  <c r="E249" i="1" a="1"/>
  <c r="E249" i="1" s="1"/>
  <c r="G250" i="1" a="1"/>
  <c r="G250" i="1" s="1"/>
  <c r="E250" i="1" s="1" a="1"/>
  <c r="E250" i="1" s="1"/>
  <c r="I250" i="1" s="1" a="1"/>
  <c r="I250" i="1" s="1"/>
  <c r="H249" i="1" l="1"/>
  <c r="H250" i="1" s="1"/>
  <c r="I249" i="1" a="1"/>
  <c r="I249" i="1" s="1"/>
  <c r="F251" i="1" a="1"/>
  <c r="F251" i="1" s="1"/>
  <c r="G251" i="1" l="1" a="1"/>
  <c r="G251" i="1" s="1"/>
  <c r="E251" i="1" l="1" a="1"/>
  <c r="E251" i="1" s="1"/>
  <c r="F252" i="1" a="1"/>
  <c r="F252" i="1" s="1"/>
  <c r="H251" i="1" l="1"/>
  <c r="I251" i="1" a="1"/>
  <c r="I251" i="1" s="1"/>
  <c r="O22" i="1" s="1"/>
  <c r="G252" i="1" a="1"/>
  <c r="G252" i="1" s="1"/>
  <c r="E252" i="1" l="1" a="1"/>
  <c r="E252" i="1" s="1"/>
  <c r="F253" i="1" a="1"/>
  <c r="F253" i="1" s="1"/>
  <c r="H252" i="1" l="1"/>
  <c r="I252" i="1" a="1"/>
  <c r="I252" i="1" s="1"/>
  <c r="G253" i="1" a="1"/>
  <c r="G253" i="1" s="1"/>
  <c r="F254" i="1" s="1" a="1"/>
  <c r="F254" i="1" s="1"/>
  <c r="E253" i="1" l="1" a="1"/>
  <c r="E253" i="1" s="1"/>
  <c r="G254" i="1" a="1"/>
  <c r="G254" i="1" s="1"/>
  <c r="F255" i="1" s="1" a="1"/>
  <c r="F255" i="1" s="1"/>
  <c r="H253" i="1" l="1"/>
  <c r="I253" i="1" a="1"/>
  <c r="I253" i="1" s="1"/>
  <c r="E254" i="1" a="1"/>
  <c r="E254" i="1" s="1"/>
  <c r="G255" i="1" a="1"/>
  <c r="G255" i="1" s="1"/>
  <c r="F256" i="1" s="1" a="1"/>
  <c r="F256" i="1" s="1"/>
  <c r="H254" i="1" l="1"/>
  <c r="I254" i="1" a="1"/>
  <c r="I254" i="1" s="1"/>
  <c r="E255" i="1" a="1"/>
  <c r="E255" i="1" s="1"/>
  <c r="G256" i="1" a="1"/>
  <c r="G256" i="1" s="1"/>
  <c r="F257" i="1" s="1" a="1"/>
  <c r="F257" i="1" s="1"/>
  <c r="H255" i="1" l="1"/>
  <c r="I255" i="1" a="1"/>
  <c r="I255" i="1" s="1"/>
  <c r="E256" i="1" a="1"/>
  <c r="E256" i="1" s="1"/>
  <c r="G257" i="1" a="1"/>
  <c r="G257" i="1" s="1"/>
  <c r="E257" i="1" s="1" a="1"/>
  <c r="E257" i="1" s="1"/>
  <c r="I257" i="1" s="1" a="1"/>
  <c r="I257" i="1" s="1"/>
  <c r="H256" i="1" l="1"/>
  <c r="I256" i="1" a="1"/>
  <c r="I256" i="1" s="1"/>
  <c r="F258" i="1" a="1"/>
  <c r="F258" i="1" s="1"/>
  <c r="H257" i="1" l="1"/>
  <c r="P22" i="1"/>
  <c r="Q22" i="1" s="1"/>
  <c r="G258" i="1" a="1"/>
  <c r="G258" i="1" s="1"/>
  <c r="E258" i="1" l="1" a="1"/>
  <c r="E258" i="1" s="1"/>
  <c r="F259" i="1" a="1"/>
  <c r="F259" i="1" s="1"/>
  <c r="H258" i="1" l="1"/>
  <c r="I258" i="1" a="1"/>
  <c r="I258" i="1" s="1"/>
  <c r="G259" i="1" a="1"/>
  <c r="G259" i="1" s="1"/>
  <c r="F260" i="1" s="1" a="1"/>
  <c r="F260" i="1" s="1"/>
  <c r="E259" i="1" l="1" a="1"/>
  <c r="E259" i="1" s="1"/>
  <c r="G260" i="1" a="1"/>
  <c r="G260" i="1" s="1"/>
  <c r="F261" i="1" s="1" a="1"/>
  <c r="F261" i="1" s="1"/>
  <c r="H259" i="1" l="1"/>
  <c r="I259" i="1" a="1"/>
  <c r="I259" i="1" s="1"/>
  <c r="E260" i="1" a="1"/>
  <c r="E260" i="1" s="1"/>
  <c r="G261" i="1" a="1"/>
  <c r="G261" i="1" s="1"/>
  <c r="F262" i="1" s="1" a="1"/>
  <c r="F262" i="1" s="1"/>
  <c r="H260" i="1" l="1"/>
  <c r="I260" i="1" a="1"/>
  <c r="I260" i="1" s="1"/>
  <c r="E261" i="1" a="1"/>
  <c r="E261" i="1" s="1"/>
  <c r="G262" i="1" a="1"/>
  <c r="G262" i="1" s="1"/>
  <c r="E262" i="1" s="1" a="1"/>
  <c r="E262" i="1" s="1"/>
  <c r="I262" i="1" s="1" a="1"/>
  <c r="I262" i="1" s="1"/>
  <c r="H261" i="1" l="1"/>
  <c r="H262" i="1" s="1"/>
  <c r="I261" i="1" a="1"/>
  <c r="I261" i="1" s="1"/>
  <c r="F263" i="1" a="1"/>
  <c r="F263" i="1" s="1"/>
  <c r="G263" i="1" l="1" a="1"/>
  <c r="G263" i="1" s="1"/>
  <c r="E263" i="1" l="1" a="1"/>
  <c r="E263" i="1" s="1"/>
  <c r="F264" i="1" a="1"/>
  <c r="F264" i="1" s="1"/>
  <c r="H263" i="1" l="1"/>
  <c r="I263" i="1" a="1"/>
  <c r="I263" i="1" s="1"/>
  <c r="O23" i="1" s="1"/>
  <c r="G264" i="1" a="1"/>
  <c r="G264" i="1" s="1"/>
  <c r="E264" i="1" l="1" a="1"/>
  <c r="E264" i="1" s="1"/>
  <c r="F265" i="1" a="1"/>
  <c r="F265" i="1" s="1"/>
  <c r="H264" i="1" l="1"/>
  <c r="I264" i="1" a="1"/>
  <c r="I264" i="1" s="1"/>
  <c r="G265" i="1" a="1"/>
  <c r="G265" i="1" s="1"/>
  <c r="F266" i="1" s="1" a="1"/>
  <c r="F266" i="1" s="1"/>
  <c r="E265" i="1" l="1" a="1"/>
  <c r="E265" i="1" s="1"/>
  <c r="G266" i="1" a="1"/>
  <c r="G266" i="1" s="1"/>
  <c r="F267" i="1" s="1" a="1"/>
  <c r="F267" i="1" s="1"/>
  <c r="H265" i="1" l="1"/>
  <c r="I265" i="1" a="1"/>
  <c r="I265" i="1" s="1"/>
  <c r="E266" i="1" a="1"/>
  <c r="E266" i="1" s="1"/>
  <c r="G267" i="1" a="1"/>
  <c r="G267" i="1" s="1"/>
  <c r="F268" i="1" s="1" a="1"/>
  <c r="F268" i="1" s="1"/>
  <c r="H266" i="1" l="1"/>
  <c r="I266" i="1" a="1"/>
  <c r="I266" i="1" s="1"/>
  <c r="E267" i="1" a="1"/>
  <c r="E267" i="1" s="1"/>
  <c r="G268" i="1" a="1"/>
  <c r="G268" i="1" s="1"/>
  <c r="F269" i="1" s="1" a="1"/>
  <c r="F269" i="1" s="1"/>
  <c r="H267" i="1" l="1"/>
  <c r="I267" i="1" a="1"/>
  <c r="I267" i="1" s="1"/>
  <c r="E268" i="1" a="1"/>
  <c r="E268" i="1" s="1"/>
  <c r="G269" i="1" a="1"/>
  <c r="G269" i="1" s="1"/>
  <c r="E269" i="1" s="1" a="1"/>
  <c r="E269" i="1" s="1"/>
  <c r="I269" i="1" s="1" a="1"/>
  <c r="I269" i="1" s="1"/>
  <c r="H268" i="1" l="1"/>
  <c r="I268" i="1" a="1"/>
  <c r="I268" i="1" s="1"/>
  <c r="F270" i="1" a="1"/>
  <c r="F270" i="1" s="1"/>
  <c r="H269" i="1" l="1"/>
  <c r="P23" i="1"/>
  <c r="Q23" i="1" s="1"/>
  <c r="G270" i="1" a="1"/>
  <c r="G270" i="1" s="1"/>
  <c r="E270" i="1" l="1" a="1"/>
  <c r="E270" i="1" s="1"/>
  <c r="F271" i="1" a="1"/>
  <c r="F271" i="1" s="1"/>
  <c r="H270" i="1" l="1"/>
  <c r="I270" i="1" a="1"/>
  <c r="I270" i="1" s="1"/>
  <c r="G271" i="1" a="1"/>
  <c r="G271" i="1" s="1"/>
  <c r="F272" i="1" s="1" a="1"/>
  <c r="F272" i="1" s="1"/>
  <c r="E271" i="1" l="1" a="1"/>
  <c r="E271" i="1" s="1"/>
  <c r="G272" i="1" a="1"/>
  <c r="G272" i="1" s="1"/>
  <c r="F273" i="1" s="1" a="1"/>
  <c r="F273" i="1" s="1"/>
  <c r="H271" i="1" l="1"/>
  <c r="I271" i="1" a="1"/>
  <c r="I271" i="1" s="1"/>
  <c r="E272" i="1" a="1"/>
  <c r="E272" i="1" s="1"/>
  <c r="G273" i="1" a="1"/>
  <c r="G273" i="1" s="1"/>
  <c r="F274" i="1" s="1" a="1"/>
  <c r="F274" i="1" s="1"/>
  <c r="H272" i="1" l="1"/>
  <c r="I272" i="1" a="1"/>
  <c r="I272" i="1" s="1"/>
  <c r="E273" i="1" a="1"/>
  <c r="E273" i="1" s="1"/>
  <c r="G274" i="1" a="1"/>
  <c r="G274" i="1" s="1"/>
  <c r="E274" i="1" s="1" a="1"/>
  <c r="E274" i="1" s="1"/>
  <c r="I274" i="1" s="1" a="1"/>
  <c r="I274" i="1" s="1"/>
  <c r="H273" i="1" l="1"/>
  <c r="I273" i="1" a="1"/>
  <c r="I273" i="1" s="1"/>
  <c r="F275" i="1" a="1"/>
  <c r="F275" i="1" s="1"/>
  <c r="H274" i="1" l="1"/>
  <c r="G275" i="1" a="1"/>
  <c r="G275" i="1" s="1"/>
  <c r="E275" i="1" s="1" a="1"/>
  <c r="E275" i="1" s="1"/>
  <c r="I275" i="1" s="1" a="1"/>
  <c r="I275" i="1" s="1"/>
  <c r="O24" i="1" s="1"/>
  <c r="H275" i="1" l="1"/>
  <c r="F276" i="1" a="1"/>
  <c r="F276" i="1" s="1"/>
  <c r="G276" i="1" l="1" a="1"/>
  <c r="G276" i="1" s="1"/>
  <c r="E276" i="1" l="1" a="1"/>
  <c r="E276" i="1" s="1"/>
  <c r="F277" i="1" a="1"/>
  <c r="F277" i="1" s="1"/>
  <c r="H276" i="1" l="1"/>
  <c r="I276" i="1" a="1"/>
  <c r="I276" i="1" s="1"/>
  <c r="G277" i="1" a="1"/>
  <c r="G277" i="1" s="1"/>
  <c r="F278" i="1" s="1" a="1"/>
  <c r="F278" i="1" s="1"/>
  <c r="E277" i="1" l="1" a="1"/>
  <c r="E277" i="1" s="1"/>
  <c r="G278" i="1" a="1"/>
  <c r="G278" i="1" s="1"/>
  <c r="F279" i="1" s="1" a="1"/>
  <c r="F279" i="1" s="1"/>
  <c r="H277" i="1" l="1"/>
  <c r="I277" i="1" a="1"/>
  <c r="I277" i="1" s="1"/>
  <c r="E278" i="1" a="1"/>
  <c r="E278" i="1" s="1"/>
  <c r="G279" i="1" a="1"/>
  <c r="G279" i="1" s="1"/>
  <c r="F280" i="1" s="1" a="1"/>
  <c r="F280" i="1" s="1"/>
  <c r="H278" i="1" l="1"/>
  <c r="I278" i="1" a="1"/>
  <c r="I278" i="1" s="1"/>
  <c r="E279" i="1" a="1"/>
  <c r="E279" i="1" s="1"/>
  <c r="G280" i="1" a="1"/>
  <c r="G280" i="1" s="1"/>
  <c r="F281" i="1" s="1" a="1"/>
  <c r="F281" i="1" s="1"/>
  <c r="H279" i="1" l="1"/>
  <c r="I279" i="1" a="1"/>
  <c r="I279" i="1" s="1"/>
  <c r="E280" i="1" a="1"/>
  <c r="E280" i="1" s="1"/>
  <c r="G281" i="1" a="1"/>
  <c r="G281" i="1" s="1"/>
  <c r="E281" i="1" s="1" a="1"/>
  <c r="E281" i="1" s="1"/>
  <c r="I281" i="1" s="1" a="1"/>
  <c r="I281" i="1" s="1"/>
  <c r="P24" i="1" l="1"/>
  <c r="Q24" i="1" s="1"/>
  <c r="H280" i="1"/>
  <c r="I280" i="1" a="1"/>
  <c r="I280" i="1" s="1"/>
  <c r="F282" i="1" a="1"/>
  <c r="F282" i="1" s="1"/>
  <c r="H281" i="1" l="1"/>
  <c r="G282" i="1" a="1"/>
  <c r="G282" i="1" s="1"/>
  <c r="E282" i="1" l="1" a="1"/>
  <c r="E282" i="1" s="1"/>
  <c r="F283" i="1" a="1"/>
  <c r="F283" i="1" s="1"/>
  <c r="H282" i="1" l="1"/>
  <c r="I282" i="1" a="1"/>
  <c r="I282" i="1" s="1"/>
  <c r="G283" i="1" a="1"/>
  <c r="G283" i="1" s="1"/>
  <c r="F284" i="1" s="1" a="1"/>
  <c r="F284" i="1" s="1"/>
  <c r="E283" i="1" l="1" a="1"/>
  <c r="E283" i="1" s="1"/>
  <c r="G284" i="1" a="1"/>
  <c r="G284" i="1" s="1"/>
  <c r="F285" i="1" s="1" a="1"/>
  <c r="F285" i="1" s="1"/>
  <c r="H283" i="1" l="1"/>
  <c r="I283" i="1" a="1"/>
  <c r="I283" i="1" s="1"/>
  <c r="E284" i="1" a="1"/>
  <c r="E284" i="1" s="1"/>
  <c r="G285" i="1" a="1"/>
  <c r="G285" i="1" s="1"/>
  <c r="F286" i="1" s="1" a="1"/>
  <c r="F286" i="1" s="1"/>
  <c r="H284" i="1" l="1"/>
  <c r="I284" i="1" a="1"/>
  <c r="I284" i="1" s="1"/>
  <c r="E285" i="1" a="1"/>
  <c r="E285" i="1" s="1"/>
  <c r="G286" i="1" a="1"/>
  <c r="G286" i="1" s="1"/>
  <c r="E286" i="1" s="1" a="1"/>
  <c r="E286" i="1" s="1"/>
  <c r="I286" i="1" s="1" a="1"/>
  <c r="I286" i="1" s="1"/>
  <c r="H285" i="1" l="1"/>
  <c r="I285" i="1" a="1"/>
  <c r="I285" i="1" s="1"/>
  <c r="F287" i="1" a="1"/>
  <c r="F287" i="1" s="1"/>
  <c r="H286" i="1" l="1"/>
  <c r="G287" i="1" a="1"/>
  <c r="G287" i="1" s="1"/>
  <c r="E287" i="1" l="1" a="1"/>
  <c r="E287" i="1" s="1"/>
  <c r="F288" i="1" a="1"/>
  <c r="F288" i="1" s="1"/>
  <c r="H287" i="1" l="1"/>
  <c r="I287" i="1" a="1"/>
  <c r="I287" i="1" s="1"/>
  <c r="O25" i="1" s="1"/>
  <c r="G288" i="1" a="1"/>
  <c r="G288" i="1" s="1"/>
  <c r="E288" i="1" l="1" a="1"/>
  <c r="E288" i="1" s="1"/>
  <c r="F289" i="1" a="1"/>
  <c r="F289" i="1" s="1"/>
  <c r="H288" i="1" l="1"/>
  <c r="I288" i="1" a="1"/>
  <c r="I288" i="1" s="1"/>
  <c r="G289" i="1" a="1"/>
  <c r="G289" i="1" s="1"/>
  <c r="F290" i="1" s="1" a="1"/>
  <c r="F290" i="1" s="1"/>
  <c r="E289" i="1" l="1" a="1"/>
  <c r="E289" i="1" s="1"/>
  <c r="G290" i="1" a="1"/>
  <c r="G290" i="1" s="1"/>
  <c r="F291" i="1" s="1" a="1"/>
  <c r="F291" i="1" s="1"/>
  <c r="H289" i="1" l="1"/>
  <c r="I289" i="1" a="1"/>
  <c r="I289" i="1" s="1"/>
  <c r="E290" i="1" a="1"/>
  <c r="E290" i="1" s="1"/>
  <c r="G291" i="1" a="1"/>
  <c r="G291" i="1" s="1"/>
  <c r="F292" i="1" s="1" a="1"/>
  <c r="F292" i="1" s="1"/>
  <c r="H290" i="1" l="1"/>
  <c r="I290" i="1" a="1"/>
  <c r="I290" i="1" s="1"/>
  <c r="E291" i="1" a="1"/>
  <c r="E291" i="1" s="1"/>
  <c r="G292" i="1" a="1"/>
  <c r="G292" i="1" s="1"/>
  <c r="F293" i="1" s="1" a="1"/>
  <c r="F293" i="1" s="1"/>
  <c r="H291" i="1" l="1"/>
  <c r="I291" i="1" a="1"/>
  <c r="I291" i="1" s="1"/>
  <c r="E292" i="1" a="1"/>
  <c r="E292" i="1" s="1"/>
  <c r="G293" i="1" a="1"/>
  <c r="G293" i="1" s="1"/>
  <c r="E293" i="1" s="1" a="1"/>
  <c r="E293" i="1" s="1"/>
  <c r="I293" i="1" s="1" a="1"/>
  <c r="I293" i="1" s="1"/>
  <c r="H292" i="1" l="1"/>
  <c r="I292" i="1" a="1"/>
  <c r="I292" i="1" s="1"/>
  <c r="F294" i="1" a="1"/>
  <c r="F294" i="1" s="1"/>
  <c r="H293" i="1" l="1"/>
  <c r="P25" i="1"/>
  <c r="G294" i="1" a="1"/>
  <c r="G294" i="1" s="1"/>
  <c r="Q25" i="1" l="1"/>
  <c r="E294" i="1" a="1"/>
  <c r="E294" i="1" s="1"/>
  <c r="F295" i="1" a="1"/>
  <c r="F295" i="1" s="1"/>
  <c r="H294" i="1" l="1"/>
  <c r="I294" i="1" a="1"/>
  <c r="I294" i="1" s="1"/>
  <c r="G295" i="1" a="1"/>
  <c r="G295" i="1" s="1"/>
  <c r="F296" i="1" s="1" a="1"/>
  <c r="F296" i="1" s="1"/>
  <c r="E295" i="1" l="1" a="1"/>
  <c r="E295" i="1" s="1"/>
  <c r="G296" i="1" a="1"/>
  <c r="G296" i="1" s="1"/>
  <c r="F297" i="1" s="1" a="1"/>
  <c r="F297" i="1" s="1"/>
  <c r="H295" i="1" l="1"/>
  <c r="I295" i="1" a="1"/>
  <c r="I295" i="1" s="1"/>
  <c r="E296" i="1" a="1"/>
  <c r="E296" i="1" s="1"/>
  <c r="G297" i="1" a="1"/>
  <c r="G297" i="1" s="1"/>
  <c r="F298" i="1" s="1" a="1"/>
  <c r="F298" i="1" s="1"/>
  <c r="H296" i="1" l="1"/>
  <c r="I296" i="1" a="1"/>
  <c r="I296" i="1" s="1"/>
  <c r="E297" i="1" a="1"/>
  <c r="E297" i="1" s="1"/>
  <c r="G298" i="1" a="1"/>
  <c r="G298" i="1" s="1"/>
  <c r="E298" i="1" s="1" a="1"/>
  <c r="E298" i="1" s="1"/>
  <c r="I298" i="1" s="1" a="1"/>
  <c r="I298" i="1" s="1"/>
  <c r="H297" i="1" l="1"/>
  <c r="I297" i="1" a="1"/>
  <c r="I297" i="1" s="1"/>
  <c r="F299" i="1" a="1"/>
  <c r="F299" i="1" s="1"/>
  <c r="H298" i="1" l="1"/>
  <c r="G299" i="1" a="1"/>
  <c r="G299" i="1" s="1"/>
  <c r="E299" i="1" l="1" a="1"/>
  <c r="E299" i="1" s="1"/>
  <c r="F300" i="1" a="1"/>
  <c r="F300" i="1" s="1"/>
  <c r="H299" i="1" l="1"/>
  <c r="I299" i="1" a="1"/>
  <c r="I299" i="1" s="1"/>
  <c r="G300" i="1" a="1"/>
  <c r="G300" i="1" s="1"/>
  <c r="E300" i="1" l="1" a="1"/>
  <c r="E300" i="1" s="1"/>
  <c r="F301" i="1" a="1"/>
  <c r="F301" i="1" s="1"/>
  <c r="H300" i="1" l="1"/>
  <c r="I300" i="1" a="1"/>
  <c r="I300" i="1" s="1"/>
  <c r="G301" i="1" a="1"/>
  <c r="G301" i="1" s="1"/>
  <c r="F302" i="1" s="1" a="1"/>
  <c r="F302" i="1" s="1"/>
  <c r="E301" i="1" l="1" a="1"/>
  <c r="E301" i="1" s="1"/>
  <c r="G302" i="1" a="1"/>
  <c r="G302" i="1" s="1"/>
  <c r="F303" i="1" s="1" a="1"/>
  <c r="F303" i="1" s="1"/>
  <c r="H301" i="1" l="1"/>
  <c r="I301" i="1" a="1"/>
  <c r="I301" i="1" s="1"/>
  <c r="E302" i="1" a="1"/>
  <c r="E302" i="1" s="1"/>
  <c r="G303" i="1" a="1"/>
  <c r="G303" i="1" s="1"/>
  <c r="F304" i="1" s="1" a="1"/>
  <c r="F304" i="1" s="1"/>
  <c r="H302" i="1" l="1"/>
  <c r="I302" i="1" a="1"/>
  <c r="I302" i="1" s="1"/>
  <c r="E303" i="1" a="1"/>
  <c r="E303" i="1" s="1"/>
  <c r="G304" i="1" a="1"/>
  <c r="G304" i="1" s="1"/>
  <c r="F305" i="1" s="1" a="1"/>
  <c r="F305" i="1" s="1"/>
  <c r="H303" i="1" l="1"/>
  <c r="I303" i="1" a="1"/>
  <c r="I303" i="1" s="1"/>
  <c r="E304" i="1" a="1"/>
  <c r="E304" i="1" s="1"/>
  <c r="G305" i="1" a="1"/>
  <c r="G305" i="1" s="1"/>
  <c r="E305" i="1" s="1" a="1"/>
  <c r="E305" i="1" s="1"/>
  <c r="I305" i="1" s="1" a="1"/>
  <c r="I305" i="1" s="1"/>
  <c r="H304" i="1" l="1"/>
  <c r="H305" i="1" s="1"/>
  <c r="I304" i="1" a="1"/>
  <c r="I304" i="1" s="1"/>
  <c r="F306" i="1" a="1"/>
  <c r="F306" i="1" s="1"/>
  <c r="G306" i="1" l="1" a="1"/>
  <c r="G306" i="1" s="1"/>
  <c r="E306" i="1" l="1" a="1"/>
  <c r="E306" i="1" s="1"/>
  <c r="F307" i="1" a="1"/>
  <c r="F307" i="1" s="1"/>
  <c r="H306" i="1" l="1"/>
  <c r="I306" i="1" a="1"/>
  <c r="I306" i="1" s="1"/>
  <c r="G307" i="1" a="1"/>
  <c r="G307" i="1" s="1"/>
  <c r="F308" i="1" s="1" a="1"/>
  <c r="F308" i="1" s="1"/>
  <c r="E307" i="1" l="1" a="1"/>
  <c r="E307" i="1" s="1"/>
  <c r="G308" i="1" a="1"/>
  <c r="G308" i="1" s="1"/>
  <c r="F309" i="1" s="1" a="1"/>
  <c r="F309" i="1" s="1"/>
  <c r="H307" i="1" l="1"/>
  <c r="I307" i="1" a="1"/>
  <c r="I307" i="1" s="1"/>
  <c r="E308" i="1" a="1"/>
  <c r="E308" i="1" s="1"/>
  <c r="G309" i="1" a="1"/>
  <c r="G309" i="1" s="1"/>
  <c r="F310" i="1" s="1" a="1"/>
  <c r="F310" i="1" s="1"/>
  <c r="H308" i="1" l="1"/>
  <c r="I308" i="1" a="1"/>
  <c r="I308" i="1" s="1"/>
  <c r="E309" i="1" a="1"/>
  <c r="E309" i="1" s="1"/>
  <c r="G310" i="1" a="1"/>
  <c r="G310" i="1" s="1"/>
  <c r="E310" i="1" s="1" a="1"/>
  <c r="E310" i="1" s="1"/>
  <c r="I310" i="1" s="1" a="1"/>
  <c r="I310" i="1" s="1"/>
  <c r="H309" i="1" l="1"/>
  <c r="H310" i="1" s="1"/>
  <c r="I309" i="1" a="1"/>
  <c r="I309" i="1" s="1"/>
  <c r="F311" i="1" a="1"/>
  <c r="F311" i="1" s="1"/>
  <c r="G311" i="1" l="1" a="1"/>
  <c r="G311" i="1" s="1"/>
  <c r="E311" i="1" l="1" a="1"/>
  <c r="E311" i="1" s="1"/>
  <c r="F312" i="1" a="1"/>
  <c r="F312" i="1" s="1"/>
  <c r="H311" i="1" l="1"/>
  <c r="I311" i="1" a="1"/>
  <c r="I311" i="1" s="1"/>
  <c r="O27" i="1" s="1"/>
  <c r="G312" i="1" a="1"/>
  <c r="G312" i="1" s="1"/>
  <c r="E312" i="1" l="1" a="1"/>
  <c r="E312" i="1" s="1"/>
  <c r="F313" i="1" a="1"/>
  <c r="F313" i="1" s="1"/>
  <c r="H312" i="1" l="1"/>
  <c r="I312" i="1" a="1"/>
  <c r="I312" i="1" s="1"/>
  <c r="G313" i="1" a="1"/>
  <c r="G313" i="1" s="1"/>
  <c r="F314" i="1" s="1" a="1"/>
  <c r="F314" i="1" s="1"/>
  <c r="E313" i="1" l="1" a="1"/>
  <c r="E313" i="1" s="1"/>
  <c r="G314" i="1" a="1"/>
  <c r="G314" i="1" s="1"/>
  <c r="F315" i="1" s="1" a="1"/>
  <c r="F315" i="1" s="1"/>
  <c r="H313" i="1" l="1"/>
  <c r="I313" i="1" a="1"/>
  <c r="I313" i="1" s="1"/>
  <c r="E314" i="1" a="1"/>
  <c r="E314" i="1" s="1"/>
  <c r="G315" i="1" a="1"/>
  <c r="G315" i="1" s="1"/>
  <c r="F316" i="1" s="1" a="1"/>
  <c r="F316" i="1" s="1"/>
  <c r="H314" i="1" l="1"/>
  <c r="I314" i="1" a="1"/>
  <c r="I314" i="1" s="1"/>
  <c r="E315" i="1" a="1"/>
  <c r="E315" i="1" s="1"/>
  <c r="G316" i="1" a="1"/>
  <c r="G316" i="1" s="1"/>
  <c r="E316" i="1" s="1" a="1"/>
  <c r="E316" i="1" s="1"/>
  <c r="I316" i="1" s="1" a="1"/>
  <c r="I316" i="1" s="1"/>
  <c r="H315" i="1" l="1"/>
  <c r="I315" i="1" a="1"/>
  <c r="I315" i="1" s="1"/>
  <c r="F317" i="1" a="1"/>
  <c r="F317" i="1" s="1"/>
  <c r="H316" i="1" l="1"/>
  <c r="P27" i="1"/>
  <c r="Q27" i="1" s="1"/>
  <c r="G317" i="1" a="1"/>
  <c r="G317" i="1" s="1"/>
  <c r="E317" i="1" l="1" a="1"/>
  <c r="E317" i="1" s="1"/>
  <c r="F318" i="1" a="1"/>
  <c r="F318" i="1" s="1"/>
  <c r="H317" i="1" l="1"/>
  <c r="I317" i="1" a="1"/>
  <c r="I317" i="1" s="1"/>
  <c r="G318" i="1" a="1"/>
  <c r="G318" i="1" s="1"/>
  <c r="E318" i="1" l="1" a="1"/>
  <c r="E318" i="1" s="1"/>
  <c r="F319" i="1" a="1"/>
  <c r="F319" i="1" s="1"/>
  <c r="H318" i="1" l="1"/>
  <c r="I318" i="1" a="1"/>
  <c r="I318" i="1" s="1"/>
  <c r="G319" i="1" a="1"/>
  <c r="G319" i="1" s="1"/>
  <c r="F320" i="1" s="1" a="1"/>
  <c r="F320" i="1" s="1"/>
  <c r="E319" i="1" l="1" a="1"/>
  <c r="E319" i="1" s="1"/>
  <c r="G320" i="1" a="1"/>
  <c r="G320" i="1" s="1"/>
  <c r="F321" i="1" s="1" a="1"/>
  <c r="F321" i="1" s="1"/>
  <c r="H319" i="1" l="1"/>
  <c r="I319" i="1" a="1"/>
  <c r="I319" i="1" s="1"/>
  <c r="E320" i="1" a="1"/>
  <c r="E320" i="1" s="1"/>
  <c r="G321" i="1" a="1"/>
  <c r="G321" i="1" s="1"/>
  <c r="F322" i="1" s="1" a="1"/>
  <c r="F322" i="1" s="1"/>
  <c r="H320" i="1" l="1"/>
  <c r="I320" i="1" a="1"/>
  <c r="I320" i="1" s="1"/>
  <c r="E321" i="1" a="1"/>
  <c r="E321" i="1" s="1"/>
  <c r="G322" i="1" a="1"/>
  <c r="G322" i="1" s="1"/>
  <c r="E322" i="1" s="1" a="1"/>
  <c r="E322" i="1" s="1"/>
  <c r="I322" i="1" s="1" a="1"/>
  <c r="I322" i="1" s="1"/>
  <c r="H321" i="1" l="1"/>
  <c r="H322" i="1" s="1"/>
  <c r="I321" i="1" a="1"/>
  <c r="I321" i="1" s="1"/>
  <c r="F323" i="1" a="1"/>
  <c r="F323" i="1" s="1"/>
  <c r="G323" i="1" l="1" a="1"/>
  <c r="G323" i="1" s="1"/>
  <c r="E323" i="1" l="1" a="1"/>
  <c r="E323" i="1" s="1"/>
  <c r="F324" i="1" a="1"/>
  <c r="F324" i="1" s="1"/>
  <c r="H323" i="1" l="1"/>
  <c r="I323" i="1" a="1"/>
  <c r="I323" i="1" s="1"/>
  <c r="O28" i="1" s="1"/>
  <c r="G324" i="1" a="1"/>
  <c r="G324" i="1" s="1"/>
  <c r="E324" i="1" l="1" a="1"/>
  <c r="E324" i="1" s="1"/>
  <c r="F325" i="1" a="1"/>
  <c r="F325" i="1" s="1"/>
  <c r="H324" i="1" l="1"/>
  <c r="I324" i="1" a="1"/>
  <c r="I324" i="1" s="1"/>
  <c r="G325" i="1" a="1"/>
  <c r="G325" i="1" s="1"/>
  <c r="F326" i="1" s="1" a="1"/>
  <c r="F326" i="1" s="1"/>
  <c r="E325" i="1" l="1" a="1"/>
  <c r="E325" i="1" s="1"/>
  <c r="G326" i="1" a="1"/>
  <c r="G326" i="1" s="1"/>
  <c r="F327" i="1" s="1" a="1"/>
  <c r="F327" i="1" s="1"/>
  <c r="H325" i="1" l="1"/>
  <c r="I325" i="1" a="1"/>
  <c r="I325" i="1" s="1"/>
  <c r="E326" i="1" a="1"/>
  <c r="E326" i="1" s="1"/>
  <c r="G327" i="1" a="1"/>
  <c r="G327" i="1" s="1"/>
  <c r="F328" i="1" s="1" a="1"/>
  <c r="F328" i="1" s="1"/>
  <c r="H326" i="1" l="1"/>
  <c r="I326" i="1" a="1"/>
  <c r="I326" i="1" s="1"/>
  <c r="E327" i="1" a="1"/>
  <c r="E327" i="1" s="1"/>
  <c r="G328" i="1" a="1"/>
  <c r="G328" i="1" s="1"/>
  <c r="F329" i="1" s="1" a="1"/>
  <c r="F329" i="1" s="1"/>
  <c r="H327" i="1" l="1"/>
  <c r="P28" i="1" s="1"/>
  <c r="Q28" i="1" s="1"/>
  <c r="I327" i="1" a="1"/>
  <c r="I327" i="1" s="1"/>
  <c r="E328" i="1" a="1"/>
  <c r="E328" i="1" s="1"/>
  <c r="G329" i="1" a="1"/>
  <c r="G329" i="1" s="1"/>
  <c r="E329" i="1" s="1" a="1"/>
  <c r="E329" i="1" s="1"/>
  <c r="I329" i="1" s="1" a="1"/>
  <c r="I329" i="1" s="1"/>
  <c r="H328" i="1" l="1"/>
  <c r="H329" i="1" s="1"/>
  <c r="I328" i="1" a="1"/>
  <c r="I328" i="1" s="1"/>
  <c r="F330" i="1" a="1"/>
  <c r="F330" i="1" s="1"/>
  <c r="G330" i="1" l="1" a="1"/>
  <c r="G330" i="1" s="1"/>
  <c r="E330" i="1" l="1" a="1"/>
  <c r="E330" i="1" s="1"/>
  <c r="F331" i="1" a="1"/>
  <c r="F331" i="1" s="1"/>
  <c r="H330" i="1" l="1"/>
  <c r="I330" i="1" a="1"/>
  <c r="I330" i="1" s="1"/>
  <c r="G331" i="1" a="1"/>
  <c r="G331" i="1" s="1"/>
  <c r="F332" i="1" s="1" a="1"/>
  <c r="F332" i="1" s="1"/>
  <c r="E331" i="1" l="1" a="1"/>
  <c r="E331" i="1" s="1"/>
  <c r="G332" i="1" a="1"/>
  <c r="G332" i="1" s="1"/>
  <c r="F333" i="1" s="1" a="1"/>
  <c r="F333" i="1" s="1"/>
  <c r="H331" i="1" l="1"/>
  <c r="I331" i="1" a="1"/>
  <c r="I331" i="1" s="1"/>
  <c r="E332" i="1" a="1"/>
  <c r="E332" i="1" s="1"/>
  <c r="G333" i="1" a="1"/>
  <c r="G333" i="1" s="1"/>
  <c r="F334" i="1" s="1" a="1"/>
  <c r="F334" i="1" s="1"/>
  <c r="H332" i="1" l="1"/>
  <c r="I332" i="1" a="1"/>
  <c r="I332" i="1" s="1"/>
  <c r="E333" i="1" a="1"/>
  <c r="E333" i="1" s="1"/>
  <c r="G334" i="1" a="1"/>
  <c r="G334" i="1" s="1"/>
  <c r="E334" i="1" s="1" a="1"/>
  <c r="E334" i="1" s="1"/>
  <c r="I334" i="1" s="1" a="1"/>
  <c r="I334" i="1" s="1"/>
  <c r="H333" i="1" l="1"/>
  <c r="H334" i="1" s="1"/>
  <c r="I333" i="1" a="1"/>
  <c r="I333" i="1" s="1"/>
  <c r="F335" i="1" a="1"/>
  <c r="F335" i="1" s="1"/>
  <c r="G335" i="1" l="1" a="1"/>
  <c r="G335" i="1" s="1"/>
  <c r="E335" i="1" l="1" a="1"/>
  <c r="E335" i="1" s="1"/>
  <c r="F336" i="1" a="1"/>
  <c r="F336" i="1" s="1"/>
  <c r="H335" i="1" l="1"/>
  <c r="I335" i="1" a="1"/>
  <c r="I335" i="1" s="1"/>
  <c r="O29" i="1" s="1"/>
  <c r="G336" i="1" a="1"/>
  <c r="G336" i="1" s="1"/>
  <c r="E336" i="1" l="1" a="1"/>
  <c r="E336" i="1" s="1"/>
  <c r="F337" i="1" a="1"/>
  <c r="F337" i="1" s="1"/>
  <c r="H336" i="1" l="1"/>
  <c r="I336" i="1" a="1"/>
  <c r="I336" i="1" s="1"/>
  <c r="G337" i="1" a="1"/>
  <c r="G337" i="1" s="1"/>
  <c r="F338" i="1" s="1" a="1"/>
  <c r="F338" i="1" s="1"/>
  <c r="E337" i="1" l="1" a="1"/>
  <c r="E337" i="1" s="1"/>
  <c r="G338" i="1" a="1"/>
  <c r="G338" i="1" s="1"/>
  <c r="F339" i="1" s="1" a="1"/>
  <c r="F339" i="1" s="1"/>
  <c r="H337" i="1" l="1"/>
  <c r="I337" i="1" a="1"/>
  <c r="I337" i="1" s="1"/>
  <c r="E338" i="1" a="1"/>
  <c r="E338" i="1" s="1"/>
  <c r="G339" i="1" a="1"/>
  <c r="G339" i="1" s="1"/>
  <c r="F340" i="1" s="1" a="1"/>
  <c r="F340" i="1" s="1"/>
  <c r="H338" i="1" l="1"/>
  <c r="I338" i="1" a="1"/>
  <c r="I338" i="1" s="1"/>
  <c r="E339" i="1" a="1"/>
  <c r="E339" i="1" s="1"/>
  <c r="G340" i="1" a="1"/>
  <c r="G340" i="1" s="1"/>
  <c r="F341" i="1" s="1" a="1"/>
  <c r="F341" i="1" s="1"/>
  <c r="H339" i="1" l="1"/>
  <c r="P29" i="1" s="1"/>
  <c r="Q29" i="1" s="1"/>
  <c r="I339" i="1" a="1"/>
  <c r="I339" i="1" s="1"/>
  <c r="E340" i="1" a="1"/>
  <c r="E340" i="1" s="1"/>
  <c r="G341" i="1" a="1"/>
  <c r="G341" i="1" s="1"/>
  <c r="E341" i="1" s="1" a="1"/>
  <c r="E341" i="1" s="1"/>
  <c r="I341" i="1" s="1" a="1"/>
  <c r="I341" i="1" s="1"/>
  <c r="H340" i="1" l="1"/>
  <c r="H341" i="1" s="1"/>
  <c r="I340" i="1" a="1"/>
  <c r="I340" i="1" s="1"/>
  <c r="F342" i="1" a="1"/>
  <c r="F342" i="1" s="1"/>
  <c r="G342" i="1" l="1" a="1"/>
  <c r="G342" i="1" s="1"/>
  <c r="E342" i="1" l="1" a="1"/>
  <c r="E342" i="1" s="1"/>
  <c r="F343" i="1" a="1"/>
  <c r="F343" i="1" s="1"/>
  <c r="H342" i="1" l="1"/>
  <c r="I342" i="1" a="1"/>
  <c r="I342" i="1" s="1"/>
  <c r="G343" i="1" a="1"/>
  <c r="G343" i="1" s="1"/>
  <c r="F344" i="1" s="1" a="1"/>
  <c r="F344" i="1" s="1"/>
  <c r="E343" i="1" l="1" a="1"/>
  <c r="E343" i="1" s="1"/>
  <c r="G344" i="1" a="1"/>
  <c r="G344" i="1" s="1"/>
  <c r="F345" i="1" s="1" a="1"/>
  <c r="F345" i="1" s="1"/>
  <c r="H343" i="1" l="1"/>
  <c r="I343" i="1" a="1"/>
  <c r="I343" i="1" s="1"/>
  <c r="E344" i="1" a="1"/>
  <c r="E344" i="1" s="1"/>
  <c r="G345" i="1" a="1"/>
  <c r="G345" i="1" s="1"/>
  <c r="F346" i="1" s="1" a="1"/>
  <c r="F346" i="1" s="1"/>
  <c r="H344" i="1" l="1"/>
  <c r="I344" i="1" a="1"/>
  <c r="I344" i="1" s="1"/>
  <c r="E345" i="1" a="1"/>
  <c r="E345" i="1" s="1"/>
  <c r="G346" i="1" a="1"/>
  <c r="G346" i="1" s="1"/>
  <c r="E346" i="1" s="1" a="1"/>
  <c r="E346" i="1" s="1"/>
  <c r="I346" i="1" s="1" a="1"/>
  <c r="I346" i="1" s="1"/>
  <c r="H345" i="1" l="1"/>
  <c r="H346" i="1" s="1"/>
  <c r="I345" i="1" a="1"/>
  <c r="I345" i="1" s="1"/>
  <c r="F347" i="1" a="1"/>
  <c r="F347" i="1" s="1"/>
  <c r="G347" i="1" l="1" a="1"/>
  <c r="G347" i="1" s="1"/>
  <c r="E347" i="1" l="1" a="1"/>
  <c r="E347" i="1" s="1"/>
  <c r="F348" i="1" a="1"/>
  <c r="F348" i="1" s="1"/>
  <c r="H347" i="1" l="1"/>
  <c r="I347" i="1" a="1"/>
  <c r="I347" i="1" s="1"/>
  <c r="O30" i="1" s="1"/>
  <c r="G348" i="1" a="1"/>
  <c r="G348" i="1" s="1"/>
  <c r="E348" i="1" l="1" a="1"/>
  <c r="E348" i="1" s="1"/>
  <c r="F349" i="1" a="1"/>
  <c r="F349" i="1" s="1"/>
  <c r="H348" i="1" l="1"/>
  <c r="I348" i="1" a="1"/>
  <c r="I348" i="1" s="1"/>
  <c r="G349" i="1" a="1"/>
  <c r="G349" i="1" s="1"/>
  <c r="F350" i="1" s="1" a="1"/>
  <c r="F350" i="1" s="1"/>
  <c r="E349" i="1" l="1" a="1"/>
  <c r="E349" i="1" s="1"/>
  <c r="G350" i="1" a="1"/>
  <c r="G350" i="1" s="1"/>
  <c r="F351" i="1" s="1" a="1"/>
  <c r="F351" i="1" s="1"/>
  <c r="H349" i="1" l="1"/>
  <c r="I349" i="1" a="1"/>
  <c r="I349" i="1" s="1"/>
  <c r="E350" i="1" a="1"/>
  <c r="E350" i="1" s="1"/>
  <c r="G351" i="1" a="1"/>
  <c r="G351" i="1" s="1"/>
  <c r="F352" i="1" s="1" a="1"/>
  <c r="F352" i="1" s="1"/>
  <c r="H350" i="1" l="1"/>
  <c r="I350" i="1" a="1"/>
  <c r="I350" i="1" s="1"/>
  <c r="E351" i="1" a="1"/>
  <c r="E351" i="1" s="1"/>
  <c r="G352" i="1" a="1"/>
  <c r="G352" i="1" s="1"/>
  <c r="F353" i="1" s="1" a="1"/>
  <c r="F353" i="1" s="1"/>
  <c r="H351" i="1" l="1"/>
  <c r="P30" i="1" s="1"/>
  <c r="Q30" i="1" s="1"/>
  <c r="I351" i="1" a="1"/>
  <c r="I351" i="1" s="1"/>
  <c r="E352" i="1" a="1"/>
  <c r="E352" i="1" s="1"/>
  <c r="G353" i="1" a="1"/>
  <c r="G353" i="1" s="1"/>
  <c r="E353" i="1" s="1" a="1"/>
  <c r="E353" i="1" s="1"/>
  <c r="I353" i="1" s="1" a="1"/>
  <c r="I353" i="1" s="1"/>
  <c r="H352" i="1" l="1"/>
  <c r="H353" i="1" s="1"/>
  <c r="I352" i="1" a="1"/>
  <c r="I352" i="1" s="1"/>
  <c r="F354" i="1" a="1"/>
  <c r="F354" i="1" s="1"/>
  <c r="G354" i="1" l="1" a="1"/>
  <c r="G354" i="1" s="1"/>
  <c r="E354" i="1" l="1" a="1"/>
  <c r="E354" i="1" s="1"/>
  <c r="F355" i="1" a="1"/>
  <c r="F355" i="1" s="1"/>
  <c r="H354" i="1" l="1"/>
  <c r="I354" i="1" a="1"/>
  <c r="I354" i="1" s="1"/>
  <c r="G355" i="1" a="1"/>
  <c r="G355" i="1" s="1"/>
  <c r="F356" i="1" s="1" a="1"/>
  <c r="F356" i="1" s="1"/>
  <c r="E355" i="1" l="1" a="1"/>
  <c r="E355" i="1" s="1"/>
  <c r="G356" i="1" a="1"/>
  <c r="G356" i="1" s="1"/>
  <c r="F357" i="1" s="1" a="1"/>
  <c r="F357" i="1" s="1"/>
  <c r="H355" i="1" l="1"/>
  <c r="I355" i="1" a="1"/>
  <c r="I355" i="1" s="1"/>
  <c r="E356" i="1" a="1"/>
  <c r="E356" i="1" s="1"/>
  <c r="G357" i="1" a="1"/>
  <c r="G357" i="1" s="1"/>
  <c r="E357" i="1" s="1" a="1"/>
  <c r="E357" i="1" s="1"/>
  <c r="I357" i="1" s="1" a="1"/>
  <c r="I357" i="1" s="1"/>
  <c r="H356" i="1" l="1"/>
  <c r="H357" i="1" s="1"/>
  <c r="I356" i="1" a="1"/>
  <c r="I356" i="1" s="1"/>
  <c r="F358" i="1" a="1"/>
  <c r="F358" i="1" s="1"/>
  <c r="G358" i="1" l="1" a="1"/>
  <c r="G358" i="1" s="1"/>
  <c r="E358" i="1" l="1" a="1"/>
  <c r="E358" i="1" s="1"/>
  <c r="F359" i="1" a="1"/>
  <c r="F359" i="1" s="1"/>
  <c r="H358" i="1" l="1"/>
  <c r="I358" i="1" a="1"/>
  <c r="I358" i="1" s="1"/>
  <c r="G359" i="1" a="1"/>
  <c r="G359" i="1" s="1"/>
  <c r="E359" i="1" l="1" a="1"/>
  <c r="E359" i="1" s="1"/>
  <c r="F360" i="1" a="1"/>
  <c r="F360" i="1" s="1"/>
  <c r="H359" i="1" l="1"/>
  <c r="I359" i="1" a="1"/>
  <c r="I359" i="1" s="1"/>
  <c r="O31" i="1" s="1"/>
  <c r="G360" i="1" a="1"/>
  <c r="G360" i="1" s="1"/>
  <c r="E360" i="1" l="1" a="1"/>
  <c r="E360" i="1" s="1"/>
  <c r="F361" i="1" a="1"/>
  <c r="F361" i="1" s="1"/>
  <c r="H360" i="1" l="1"/>
  <c r="I360" i="1" a="1"/>
  <c r="I360" i="1" s="1"/>
  <c r="G361" i="1" a="1"/>
  <c r="G361" i="1" s="1"/>
  <c r="F362" i="1" s="1" a="1"/>
  <c r="F362" i="1" s="1"/>
  <c r="E361" i="1" l="1" a="1"/>
  <c r="E361" i="1" s="1"/>
  <c r="G362" i="1" a="1"/>
  <c r="G362" i="1" s="1"/>
  <c r="F363" i="1" s="1" a="1"/>
  <c r="F363" i="1" s="1"/>
  <c r="H361" i="1" l="1"/>
  <c r="I361" i="1" a="1"/>
  <c r="I361" i="1" s="1"/>
  <c r="E362" i="1" a="1"/>
  <c r="E362" i="1" s="1"/>
  <c r="G363" i="1" a="1"/>
  <c r="G363" i="1" s="1"/>
  <c r="F364" i="1" s="1" a="1"/>
  <c r="F364" i="1" s="1"/>
  <c r="H362" i="1" l="1"/>
  <c r="I362" i="1" a="1"/>
  <c r="I362" i="1" s="1"/>
  <c r="E363" i="1" a="1"/>
  <c r="E363" i="1" s="1"/>
  <c r="G364" i="1" a="1"/>
  <c r="G364" i="1" s="1"/>
  <c r="F365" i="1" s="1" a="1"/>
  <c r="F365" i="1" s="1"/>
  <c r="H363" i="1" l="1"/>
  <c r="P31" i="1" s="1"/>
  <c r="Q31" i="1" s="1"/>
  <c r="I363" i="1" a="1"/>
  <c r="I363" i="1" s="1"/>
  <c r="E364" i="1" a="1"/>
  <c r="E364" i="1" s="1"/>
  <c r="G365" i="1" a="1"/>
  <c r="G365" i="1" s="1"/>
  <c r="F366" i="1" s="1" a="1"/>
  <c r="F366" i="1" s="1"/>
  <c r="H364" i="1" l="1"/>
  <c r="I364" i="1" a="1"/>
  <c r="I364" i="1" s="1"/>
  <c r="E365" i="1" a="1"/>
  <c r="E365" i="1" s="1"/>
  <c r="G366" i="1" a="1"/>
  <c r="G366" i="1" s="1"/>
  <c r="F367" i="1" s="1" a="1"/>
  <c r="F367" i="1" s="1"/>
  <c r="H365" i="1" l="1"/>
  <c r="I365" i="1" a="1"/>
  <c r="I365" i="1" s="1"/>
  <c r="E366" i="1" a="1"/>
  <c r="E366" i="1" s="1"/>
  <c r="G367" i="1" a="1"/>
  <c r="G367" i="1" s="1"/>
  <c r="F368" i="1" s="1" a="1"/>
  <c r="F368" i="1" s="1"/>
  <c r="H366" i="1" l="1"/>
  <c r="I366" i="1" a="1"/>
  <c r="I366" i="1" s="1"/>
  <c r="E367" i="1" a="1"/>
  <c r="E367" i="1" s="1"/>
  <c r="G368" i="1" a="1"/>
  <c r="G368" i="1" s="1"/>
  <c r="F369" i="1" s="1" a="1"/>
  <c r="F369" i="1" s="1"/>
  <c r="H367" i="1" l="1"/>
  <c r="I367" i="1" a="1"/>
  <c r="I367" i="1" s="1"/>
  <c r="E368" i="1" a="1"/>
  <c r="E368" i="1" s="1"/>
  <c r="G369" i="1" a="1"/>
  <c r="G369" i="1" s="1"/>
  <c r="E369" i="1" s="1" a="1"/>
  <c r="E369" i="1" s="1"/>
  <c r="I369" i="1" s="1" a="1"/>
  <c r="I369" i="1" s="1"/>
  <c r="H368" i="1" l="1"/>
  <c r="H369" i="1" s="1"/>
  <c r="I368" i="1" a="1"/>
  <c r="I368" i="1" s="1"/>
  <c r="F370" i="1" a="1"/>
  <c r="F370" i="1" s="1"/>
  <c r="G370" i="1" l="1" a="1"/>
  <c r="G370" i="1" s="1"/>
  <c r="E370" i="1" l="1" a="1"/>
  <c r="E370" i="1" s="1"/>
  <c r="F371" i="1" a="1"/>
  <c r="F371" i="1" s="1"/>
  <c r="H370" i="1" l="1"/>
  <c r="I370" i="1" a="1"/>
  <c r="I370" i="1" s="1"/>
  <c r="G371" i="1" a="1"/>
  <c r="G371" i="1" s="1"/>
  <c r="E371" i="1" l="1" a="1"/>
  <c r="E371" i="1" s="1"/>
  <c r="F372" i="1" a="1"/>
  <c r="F372" i="1" s="1"/>
  <c r="H371" i="1" l="1"/>
  <c r="I371" i="1" a="1"/>
  <c r="I371" i="1" s="1"/>
  <c r="O32" i="1" s="1"/>
  <c r="G372" i="1" a="1"/>
  <c r="G372" i="1" s="1"/>
  <c r="F373" i="1" s="1" a="1"/>
  <c r="F373" i="1" s="1"/>
  <c r="E372" i="1" l="1" a="1"/>
  <c r="E372" i="1" s="1"/>
  <c r="G373" i="1" a="1"/>
  <c r="G373" i="1" s="1"/>
  <c r="F374" i="1" s="1" a="1"/>
  <c r="F374" i="1" s="1"/>
  <c r="H372" i="1" l="1"/>
  <c r="I372" i="1" a="1"/>
  <c r="I372" i="1" s="1"/>
  <c r="E373" i="1" a="1"/>
  <c r="E373" i="1" s="1"/>
  <c r="G374" i="1" a="1"/>
  <c r="G374" i="1" s="1"/>
  <c r="F375" i="1" s="1" a="1"/>
  <c r="F375" i="1" s="1"/>
  <c r="H373" i="1" l="1"/>
  <c r="I373" i="1" a="1"/>
  <c r="I373" i="1" s="1"/>
  <c r="E374" i="1" a="1"/>
  <c r="E374" i="1" s="1"/>
  <c r="G375" i="1" a="1"/>
  <c r="G375" i="1" s="1"/>
  <c r="F376" i="1" s="1" a="1"/>
  <c r="F376" i="1" s="1"/>
  <c r="H374" i="1" l="1"/>
  <c r="I374" i="1" a="1"/>
  <c r="I374" i="1" s="1"/>
  <c r="E375" i="1" a="1"/>
  <c r="E375" i="1" s="1"/>
  <c r="G376" i="1" a="1"/>
  <c r="G376" i="1" s="1"/>
  <c r="F377" i="1" s="1" a="1"/>
  <c r="F377" i="1" s="1"/>
  <c r="H375" i="1" l="1"/>
  <c r="P32" i="1" s="1"/>
  <c r="Q32" i="1" s="1"/>
  <c r="I375" i="1" a="1"/>
  <c r="I375" i="1" s="1"/>
  <c r="E376" i="1" a="1"/>
  <c r="E376" i="1" s="1"/>
  <c r="G377" i="1" a="1"/>
  <c r="G377" i="1" s="1"/>
  <c r="F378" i="1" s="1" a="1"/>
  <c r="F378" i="1" s="1"/>
  <c r="H376" i="1" l="1"/>
  <c r="I376" i="1" a="1"/>
  <c r="I376" i="1" s="1"/>
  <c r="E377" i="1" a="1"/>
  <c r="E377" i="1" s="1"/>
  <c r="G378" i="1" a="1"/>
  <c r="G378" i="1" s="1"/>
  <c r="E378" i="1" s="1" a="1"/>
  <c r="E378" i="1" s="1"/>
  <c r="I378" i="1" s="1" a="1"/>
  <c r="I378" i="1" s="1"/>
  <c r="H377" i="1" l="1"/>
  <c r="H378" i="1" s="1"/>
  <c r="I377" i="1" a="1"/>
  <c r="I377" i="1" s="1"/>
  <c r="F379" i="1" a="1"/>
  <c r="F379" i="1" s="1"/>
  <c r="G379" i="1" l="1" a="1"/>
  <c r="G379" i="1" s="1"/>
  <c r="F380" i="1" s="1" a="1"/>
  <c r="F380" i="1" s="1"/>
  <c r="E379" i="1" l="1" a="1"/>
  <c r="E379" i="1" s="1"/>
  <c r="G380" i="1" a="1"/>
  <c r="G380" i="1" s="1"/>
  <c r="F381" i="1" s="1" a="1"/>
  <c r="F381" i="1" s="1"/>
  <c r="H379" i="1" l="1"/>
  <c r="I379" i="1" a="1"/>
  <c r="I379" i="1" s="1"/>
  <c r="E380" i="1" a="1"/>
  <c r="E380" i="1" s="1"/>
  <c r="G381" i="1" a="1"/>
  <c r="G381" i="1" s="1"/>
  <c r="F382" i="1" s="1" a="1"/>
  <c r="F382" i="1" s="1"/>
  <c r="H380" i="1" l="1"/>
  <c r="I380" i="1" a="1"/>
  <c r="I380" i="1" s="1"/>
  <c r="E381" i="1" a="1"/>
  <c r="E381" i="1" s="1"/>
  <c r="G382" i="1" a="1"/>
  <c r="G382" i="1" s="1"/>
  <c r="F383" i="1" s="1" a="1"/>
  <c r="F383" i="1" s="1"/>
  <c r="H381" i="1" l="1"/>
  <c r="I381" i="1" a="1"/>
  <c r="I381" i="1" s="1"/>
  <c r="E382" i="1" a="1"/>
  <c r="E382" i="1" s="1"/>
  <c r="G383" i="1" a="1"/>
  <c r="G383" i="1" s="1"/>
  <c r="F384" i="1" s="1" a="1"/>
  <c r="F384" i="1" s="1"/>
  <c r="H382" i="1" l="1"/>
  <c r="I382" i="1" a="1"/>
  <c r="I382" i="1" s="1"/>
  <c r="E383" i="1" a="1"/>
  <c r="E383" i="1" s="1"/>
  <c r="G384" i="1" a="1"/>
  <c r="G384" i="1" s="1"/>
  <c r="F385" i="1" s="1" a="1"/>
  <c r="F385" i="1" s="1"/>
  <c r="H383" i="1" l="1"/>
  <c r="I383" i="1" a="1"/>
  <c r="I383" i="1" s="1"/>
  <c r="O33" i="1" s="1"/>
  <c r="E384" i="1" a="1"/>
  <c r="E384" i="1" s="1"/>
  <c r="G385" i="1" a="1"/>
  <c r="G385" i="1" s="1"/>
  <c r="F386" i="1" s="1" a="1"/>
  <c r="F386" i="1" s="1"/>
  <c r="H384" i="1" l="1"/>
  <c r="I384" i="1" a="1"/>
  <c r="I384" i="1" s="1"/>
  <c r="E385" i="1" a="1"/>
  <c r="E385" i="1" s="1"/>
  <c r="G386" i="1" a="1"/>
  <c r="G386" i="1" s="1"/>
  <c r="F387" i="1" s="1" a="1"/>
  <c r="F387" i="1" s="1"/>
  <c r="H385" i="1" l="1"/>
  <c r="I385" i="1" a="1"/>
  <c r="I385" i="1" s="1"/>
  <c r="E386" i="1" a="1"/>
  <c r="E386" i="1" s="1"/>
  <c r="G387" i="1" a="1"/>
  <c r="G387" i="1" s="1"/>
  <c r="F388" i="1" s="1" a="1"/>
  <c r="F388" i="1" s="1"/>
  <c r="H386" i="1" l="1"/>
  <c r="I386" i="1" a="1"/>
  <c r="I386" i="1" s="1"/>
  <c r="E387" i="1" a="1"/>
  <c r="E387" i="1" s="1"/>
  <c r="G388" i="1" a="1"/>
  <c r="G388" i="1" s="1"/>
  <c r="F389" i="1" s="1" a="1"/>
  <c r="F389" i="1" s="1"/>
  <c r="H387" i="1" l="1"/>
  <c r="P33" i="1" s="1"/>
  <c r="Q33" i="1" s="1"/>
  <c r="I387" i="1" a="1"/>
  <c r="I387" i="1" s="1"/>
  <c r="E388" i="1" a="1"/>
  <c r="E388" i="1" s="1"/>
  <c r="G389" i="1" a="1"/>
  <c r="G389" i="1" s="1"/>
  <c r="F390" i="1" s="1" a="1"/>
  <c r="F390" i="1" s="1"/>
  <c r="H388" i="1" l="1"/>
  <c r="O26" i="1" s="1"/>
  <c r="P26" i="1" s="1"/>
  <c r="Q26" i="1" s="1"/>
  <c r="I388" i="1" a="1"/>
  <c r="I388" i="1" s="1"/>
  <c r="E389" i="1" a="1"/>
  <c r="E389" i="1" s="1"/>
  <c r="G390" i="1" a="1"/>
  <c r="G390" i="1" s="1"/>
  <c r="E390" i="1" s="1" a="1"/>
  <c r="E390" i="1" s="1"/>
  <c r="I390" i="1" s="1" a="1"/>
  <c r="I390" i="1" s="1"/>
  <c r="H389" i="1" l="1"/>
  <c r="H390" i="1" s="1"/>
  <c r="I389" i="1" a="1"/>
  <c r="I389" i="1" s="1"/>
  <c r="F391" i="1" a="1"/>
  <c r="F391" i="1" s="1"/>
  <c r="G391" i="1" l="1" a="1"/>
  <c r="G391" i="1" s="1"/>
  <c r="F392" i="1" s="1" a="1"/>
  <c r="F392" i="1" s="1"/>
  <c r="E391" i="1" l="1" a="1"/>
  <c r="E391" i="1" s="1"/>
  <c r="G392" i="1" a="1"/>
  <c r="G392" i="1" s="1"/>
  <c r="F393" i="1" s="1" a="1"/>
  <c r="F393" i="1" s="1"/>
  <c r="H391" i="1" l="1"/>
  <c r="I391" i="1" a="1"/>
  <c r="I391" i="1" s="1"/>
  <c r="E392" i="1" a="1"/>
  <c r="E392" i="1" s="1"/>
  <c r="G393" i="1" a="1"/>
  <c r="G393" i="1" s="1"/>
  <c r="E393" i="1" s="1" a="1"/>
  <c r="E393" i="1" s="1"/>
  <c r="I393" i="1" s="1" a="1"/>
  <c r="I393" i="1" s="1"/>
  <c r="H392" i="1" l="1"/>
  <c r="H393" i="1" s="1"/>
  <c r="I392" i="1" a="1"/>
  <c r="I392" i="1" s="1"/>
  <c r="F394" i="1" a="1"/>
  <c r="F394" i="1" s="1"/>
  <c r="G394" i="1" l="1" a="1"/>
  <c r="G394" i="1" s="1"/>
  <c r="E394" i="1" l="1" a="1"/>
  <c r="E394" i="1" s="1"/>
  <c r="F395" i="1" a="1"/>
  <c r="F395" i="1" s="1"/>
  <c r="H394" i="1" l="1"/>
  <c r="I394" i="1" a="1"/>
  <c r="I394" i="1" s="1"/>
  <c r="G395" i="1" a="1"/>
  <c r="G395" i="1" s="1"/>
  <c r="E395" i="1" l="1" a="1"/>
  <c r="E395" i="1" s="1"/>
  <c r="F396" i="1" a="1"/>
  <c r="F396" i="1" s="1"/>
  <c r="H395" i="1" l="1"/>
  <c r="I395" i="1" a="1"/>
  <c r="I395" i="1" s="1"/>
  <c r="O34" i="1" s="1"/>
  <c r="G396" i="1" a="1"/>
  <c r="G396" i="1" s="1"/>
  <c r="E396" i="1" l="1" a="1"/>
  <c r="E396" i="1" s="1"/>
  <c r="F397" i="1" a="1"/>
  <c r="F397" i="1" s="1"/>
  <c r="H396" i="1" l="1"/>
  <c r="I396" i="1" a="1"/>
  <c r="I396" i="1" s="1"/>
  <c r="G397" i="1" a="1"/>
  <c r="G397" i="1" s="1"/>
  <c r="F398" i="1" s="1" a="1"/>
  <c r="F398" i="1" s="1"/>
  <c r="E397" i="1" l="1" a="1"/>
  <c r="E397" i="1" s="1"/>
  <c r="G398" i="1" a="1"/>
  <c r="G398" i="1" s="1"/>
  <c r="F399" i="1" s="1" a="1"/>
  <c r="F399" i="1" s="1"/>
  <c r="H397" i="1" l="1"/>
  <c r="I397" i="1" a="1"/>
  <c r="I397" i="1" s="1"/>
  <c r="E398" i="1" a="1"/>
  <c r="E398" i="1" s="1"/>
  <c r="G399" i="1" a="1"/>
  <c r="G399" i="1" s="1"/>
  <c r="F400" i="1" s="1" a="1"/>
  <c r="F400" i="1" s="1"/>
  <c r="H398" i="1" l="1"/>
  <c r="I398" i="1" a="1"/>
  <c r="I398" i="1" s="1"/>
  <c r="E399" i="1" a="1"/>
  <c r="E399" i="1" s="1"/>
  <c r="G400" i="1" a="1"/>
  <c r="G400" i="1" s="1"/>
  <c r="F401" i="1" s="1" a="1"/>
  <c r="F401" i="1" s="1"/>
  <c r="H399" i="1" l="1"/>
  <c r="P34" i="1" s="1"/>
  <c r="Q34" i="1" s="1"/>
  <c r="I399" i="1" a="1"/>
  <c r="I399" i="1" s="1"/>
  <c r="E400" i="1" a="1"/>
  <c r="E400" i="1" s="1"/>
  <c r="G401" i="1" a="1"/>
  <c r="G401" i="1" s="1"/>
  <c r="E401" i="1" s="1" a="1"/>
  <c r="E401" i="1" s="1"/>
  <c r="I401" i="1" s="1" a="1"/>
  <c r="I401" i="1" s="1"/>
  <c r="H400" i="1" l="1"/>
  <c r="H401" i="1" s="1"/>
  <c r="I400" i="1" a="1"/>
  <c r="I400" i="1" s="1"/>
  <c r="F402" i="1" a="1"/>
  <c r="F402" i="1" s="1"/>
  <c r="G402" i="1" l="1" a="1"/>
  <c r="G402" i="1" s="1"/>
  <c r="E402" i="1" l="1" a="1"/>
  <c r="E402" i="1" s="1"/>
  <c r="F403" i="1" a="1"/>
  <c r="F403" i="1" s="1"/>
  <c r="H402" i="1" l="1"/>
  <c r="I402" i="1" a="1"/>
  <c r="I402" i="1" s="1"/>
  <c r="G403" i="1" a="1"/>
  <c r="G403" i="1" s="1"/>
  <c r="F404" i="1" s="1" a="1"/>
  <c r="F404" i="1" s="1"/>
  <c r="E403" i="1" l="1" a="1"/>
  <c r="E403" i="1" s="1"/>
  <c r="G404" i="1" a="1"/>
  <c r="G404" i="1" s="1"/>
  <c r="F405" i="1" s="1" a="1"/>
  <c r="F405" i="1" s="1"/>
  <c r="H403" i="1" l="1"/>
  <c r="I403" i="1" a="1"/>
  <c r="I403" i="1" s="1"/>
  <c r="E404" i="1" a="1"/>
  <c r="E404" i="1" s="1"/>
  <c r="G405" i="1" a="1"/>
  <c r="G405" i="1" s="1"/>
  <c r="F406" i="1" s="1" a="1"/>
  <c r="F406" i="1" s="1"/>
  <c r="H404" i="1" l="1"/>
  <c r="I404" i="1" a="1"/>
  <c r="I404" i="1" s="1"/>
  <c r="E405" i="1" a="1"/>
  <c r="E405" i="1" s="1"/>
  <c r="G406" i="1" a="1"/>
  <c r="G406" i="1" s="1"/>
  <c r="F407" i="1" s="1" a="1"/>
  <c r="F407" i="1" s="1"/>
  <c r="H405" i="1" l="1"/>
  <c r="I405" i="1" a="1"/>
  <c r="I405" i="1" s="1"/>
  <c r="E406" i="1" a="1"/>
  <c r="E406" i="1" s="1"/>
  <c r="G407" i="1" a="1"/>
  <c r="G407" i="1" s="1"/>
  <c r="E407" i="1" s="1" a="1"/>
  <c r="E407" i="1" s="1"/>
  <c r="I407" i="1" s="1" a="1"/>
  <c r="I407" i="1" s="1"/>
  <c r="O35" i="1" s="1"/>
  <c r="H406" i="1" l="1"/>
  <c r="H407" i="1" s="1"/>
  <c r="I406" i="1" a="1"/>
  <c r="I406" i="1" s="1"/>
  <c r="F408" i="1" a="1"/>
  <c r="F408" i="1" s="1"/>
  <c r="G408" i="1" l="1" a="1"/>
  <c r="G408" i="1" s="1"/>
  <c r="F409" i="1" s="1" a="1"/>
  <c r="F409" i="1" s="1"/>
  <c r="E408" i="1" l="1" a="1"/>
  <c r="E408" i="1" s="1"/>
  <c r="G409" i="1" a="1"/>
  <c r="G409" i="1" s="1"/>
  <c r="F410" i="1" s="1" a="1"/>
  <c r="F410" i="1" s="1"/>
  <c r="H408" i="1" l="1"/>
  <c r="P35" i="1" s="1"/>
  <c r="Q35" i="1" s="1"/>
  <c r="I408" i="1" a="1"/>
  <c r="I408" i="1" s="1"/>
  <c r="E409" i="1" a="1"/>
  <c r="E409" i="1" s="1"/>
  <c r="G410" i="1" a="1"/>
  <c r="G410" i="1" s="1"/>
  <c r="F411" i="1" s="1" a="1"/>
  <c r="F411" i="1" s="1"/>
  <c r="H409" i="1" l="1"/>
  <c r="I409" i="1" a="1"/>
  <c r="I409" i="1" s="1"/>
  <c r="E410" i="1" a="1"/>
  <c r="E410" i="1" s="1"/>
  <c r="G411" i="1" a="1"/>
  <c r="G411" i="1" s="1"/>
  <c r="F412" i="1" s="1" a="1"/>
  <c r="F412" i="1" s="1"/>
  <c r="H410" i="1" l="1"/>
  <c r="I410" i="1" a="1"/>
  <c r="I410" i="1" s="1"/>
  <c r="E411" i="1" a="1"/>
  <c r="E411" i="1" s="1"/>
  <c r="G412" i="1" a="1"/>
  <c r="G412" i="1" s="1"/>
  <c r="F413" i="1" s="1" a="1"/>
  <c r="F413" i="1" s="1"/>
  <c r="H411" i="1" l="1"/>
  <c r="I411" i="1" a="1"/>
  <c r="I411" i="1" s="1"/>
  <c r="E412" i="1" a="1"/>
  <c r="E412" i="1" s="1"/>
  <c r="G413" i="1" a="1"/>
  <c r="G413" i="1" s="1"/>
  <c r="F414" i="1" s="1" a="1"/>
  <c r="F414" i="1" s="1"/>
  <c r="H412" i="1" l="1"/>
  <c r="I412" i="1" a="1"/>
  <c r="I412" i="1" s="1"/>
  <c r="E413" i="1" a="1"/>
  <c r="E413" i="1" s="1"/>
  <c r="G414" i="1" a="1"/>
  <c r="G414" i="1" s="1"/>
  <c r="E414" i="1" s="1" a="1"/>
  <c r="E414" i="1" s="1"/>
  <c r="I414" i="1" s="1" a="1"/>
  <c r="I414" i="1" s="1"/>
  <c r="H413" i="1" l="1"/>
  <c r="H414" i="1" s="1"/>
  <c r="I413" i="1" a="1"/>
  <c r="I413" i="1" s="1"/>
  <c r="F415" i="1" a="1"/>
  <c r="F415" i="1" s="1"/>
  <c r="G415" i="1" l="1" a="1"/>
  <c r="G415" i="1" s="1"/>
  <c r="F416" i="1" s="1" a="1"/>
  <c r="F416" i="1" s="1"/>
  <c r="E415" i="1" l="1" a="1"/>
  <c r="E415" i="1" s="1"/>
  <c r="G416" i="1" a="1"/>
  <c r="G416" i="1" s="1"/>
  <c r="F417" i="1" s="1" a="1"/>
  <c r="F417" i="1" s="1"/>
  <c r="H415" i="1" l="1"/>
  <c r="I415" i="1" a="1"/>
  <c r="I415" i="1" s="1"/>
  <c r="E416" i="1" a="1"/>
  <c r="E416" i="1" s="1"/>
  <c r="G417" i="1" a="1"/>
  <c r="G417" i="1" s="1"/>
  <c r="F418" i="1" s="1" a="1"/>
  <c r="F418" i="1" s="1"/>
  <c r="H416" i="1" l="1"/>
  <c r="I416" i="1" a="1"/>
  <c r="I416" i="1" s="1"/>
  <c r="E417" i="1" a="1"/>
  <c r="E417" i="1" s="1"/>
  <c r="G418" i="1" a="1"/>
  <c r="G418" i="1" s="1"/>
  <c r="F419" i="1" s="1" a="1"/>
  <c r="F419" i="1" s="1"/>
  <c r="H417" i="1" l="1"/>
  <c r="I417" i="1" a="1"/>
  <c r="I417" i="1" s="1"/>
  <c r="E418" i="1" a="1"/>
  <c r="E418" i="1" s="1"/>
  <c r="G419" i="1" a="1"/>
  <c r="G419" i="1" s="1"/>
  <c r="F420" i="1" s="1" a="1"/>
  <c r="F420" i="1" s="1"/>
  <c r="H418" i="1" l="1"/>
  <c r="I418" i="1" a="1"/>
  <c r="I418" i="1" s="1"/>
  <c r="E419" i="1" a="1"/>
  <c r="E419" i="1" s="1"/>
  <c r="G420" i="1" a="1"/>
  <c r="G420" i="1" s="1"/>
  <c r="E420" i="1" s="1" a="1"/>
  <c r="E420" i="1" s="1"/>
  <c r="I420" i="1" s="1" a="1"/>
  <c r="I420" i="1" s="1"/>
  <c r="H419" i="1" l="1"/>
  <c r="H420" i="1" s="1"/>
  <c r="I419" i="1" a="1"/>
  <c r="I419" i="1" s="1"/>
  <c r="O36" i="1" s="1"/>
  <c r="P36" i="1" s="1"/>
  <c r="F421" i="1" a="1"/>
  <c r="F421" i="1" s="1"/>
  <c r="Q36" i="1" l="1"/>
  <c r="G421" i="1" a="1"/>
  <c r="G421" i="1" s="1"/>
  <c r="F422" i="1" s="1" a="1"/>
  <c r="F422" i="1" s="1"/>
  <c r="E421" i="1" l="1" a="1"/>
  <c r="E421" i="1" s="1"/>
  <c r="G422" i="1" a="1"/>
  <c r="G422" i="1" s="1"/>
  <c r="F423" i="1" s="1" a="1"/>
  <c r="F423" i="1" s="1"/>
  <c r="H421" i="1" l="1"/>
  <c r="I421" i="1" a="1"/>
  <c r="I421" i="1" s="1"/>
  <c r="E422" i="1" a="1"/>
  <c r="E422" i="1" s="1"/>
  <c r="G423" i="1" a="1"/>
  <c r="G423" i="1" s="1"/>
  <c r="F424" i="1" s="1" a="1"/>
  <c r="F424" i="1" s="1"/>
  <c r="H422" i="1" l="1"/>
  <c r="I422" i="1" a="1"/>
  <c r="I422" i="1" s="1"/>
  <c r="E423" i="1" a="1"/>
  <c r="E423" i="1" s="1"/>
  <c r="G424" i="1" a="1"/>
  <c r="G424" i="1" s="1"/>
  <c r="F425" i="1" s="1" a="1"/>
  <c r="F425" i="1" s="1"/>
  <c r="H423" i="1" l="1"/>
  <c r="I423" i="1" a="1"/>
  <c r="I423" i="1" s="1"/>
  <c r="E424" i="1" a="1"/>
  <c r="E424" i="1" s="1"/>
  <c r="G425" i="1" a="1"/>
  <c r="G425" i="1" s="1"/>
  <c r="F426" i="1" s="1" a="1"/>
  <c r="F426" i="1" s="1"/>
  <c r="H424" i="1" l="1"/>
  <c r="I424" i="1" a="1"/>
  <c r="I424" i="1" s="1"/>
  <c r="E425" i="1" a="1"/>
  <c r="E425" i="1" s="1"/>
  <c r="G426" i="1" a="1"/>
  <c r="G426" i="1" s="1"/>
  <c r="E426" i="1" s="1" a="1"/>
  <c r="E426" i="1" s="1"/>
  <c r="I426" i="1" s="1" a="1"/>
  <c r="I426" i="1" s="1"/>
  <c r="H425" i="1" l="1"/>
  <c r="H426" i="1" s="1"/>
  <c r="I425" i="1" a="1"/>
  <c r="I425" i="1" s="1"/>
  <c r="F427" i="1" a="1"/>
  <c r="F427" i="1" s="1"/>
  <c r="G427" i="1" l="1" a="1"/>
  <c r="G427" i="1" s="1"/>
  <c r="F428" i="1" s="1" a="1"/>
  <c r="F428" i="1" s="1"/>
  <c r="E427" i="1" l="1" a="1"/>
  <c r="E427" i="1" s="1"/>
  <c r="G428" i="1" a="1"/>
  <c r="G428" i="1" s="1"/>
  <c r="F429" i="1" s="1" a="1"/>
  <c r="F429" i="1" s="1"/>
  <c r="H427" i="1" l="1"/>
  <c r="I427" i="1" a="1"/>
  <c r="I427" i="1" s="1"/>
  <c r="E428" i="1" a="1"/>
  <c r="E428" i="1" s="1"/>
  <c r="G429" i="1" a="1"/>
  <c r="G429" i="1" s="1"/>
  <c r="E429" i="1" s="1" a="1"/>
  <c r="E429" i="1" s="1"/>
  <c r="I429" i="1" s="1" a="1"/>
  <c r="I429" i="1" s="1"/>
  <c r="H428" i="1" l="1"/>
  <c r="H429" i="1" s="1"/>
  <c r="I428" i="1" a="1"/>
  <c r="I428" i="1" s="1"/>
  <c r="F430" i="1" a="1"/>
  <c r="F430" i="1" s="1"/>
  <c r="G430" i="1" l="1" a="1"/>
  <c r="G430" i="1" s="1"/>
  <c r="E430" i="1" l="1" a="1"/>
  <c r="E430" i="1" s="1"/>
  <c r="F431" i="1" a="1"/>
  <c r="F431" i="1" s="1"/>
  <c r="H430" i="1" l="1"/>
  <c r="I430" i="1" a="1"/>
  <c r="I430" i="1" s="1"/>
  <c r="G431" i="1" a="1"/>
  <c r="G431" i="1" s="1"/>
  <c r="E431" i="1" l="1" a="1"/>
  <c r="E431" i="1" s="1"/>
  <c r="F432" i="1" a="1"/>
  <c r="F432" i="1" s="1"/>
  <c r="H431" i="1" l="1"/>
  <c r="I431" i="1" a="1"/>
  <c r="I431" i="1" s="1"/>
  <c r="O37" i="1" s="1"/>
  <c r="G432" i="1" a="1"/>
  <c r="G432" i="1" s="1"/>
  <c r="E432" i="1" l="1" a="1"/>
  <c r="E432" i="1" s="1"/>
  <c r="F433" i="1" a="1"/>
  <c r="F433" i="1" s="1"/>
  <c r="H432" i="1" l="1"/>
  <c r="P37" i="1" s="1"/>
  <c r="Q37" i="1" s="1"/>
  <c r="I432" i="1" a="1"/>
  <c r="I432" i="1" s="1"/>
  <c r="G433" i="1" a="1"/>
  <c r="G433" i="1" s="1"/>
  <c r="F434" i="1" s="1" a="1"/>
  <c r="F434" i="1" s="1"/>
  <c r="E433" i="1" l="1" a="1"/>
  <c r="E433" i="1" s="1"/>
  <c r="G434" i="1" a="1"/>
  <c r="G434" i="1" s="1"/>
  <c r="F435" i="1" s="1" a="1"/>
  <c r="F435" i="1" s="1"/>
  <c r="H433" i="1" l="1"/>
  <c r="I433" i="1" a="1"/>
  <c r="I433" i="1" s="1"/>
  <c r="E434" i="1" a="1"/>
  <c r="E434" i="1" s="1"/>
  <c r="G435" i="1" a="1"/>
  <c r="G435" i="1" s="1"/>
  <c r="F436" i="1" s="1" a="1"/>
  <c r="F436" i="1" s="1"/>
  <c r="H434" i="1" l="1"/>
  <c r="I434" i="1" a="1"/>
  <c r="I434" i="1" s="1"/>
  <c r="E435" i="1" a="1"/>
  <c r="E435" i="1" s="1"/>
  <c r="G436" i="1" a="1"/>
  <c r="G436" i="1" s="1"/>
  <c r="F437" i="1" s="1" a="1"/>
  <c r="F437" i="1" s="1"/>
  <c r="H435" i="1" l="1"/>
  <c r="I435" i="1" a="1"/>
  <c r="I435" i="1" s="1"/>
  <c r="E436" i="1" a="1"/>
  <c r="E436" i="1" s="1"/>
  <c r="G437" i="1" a="1"/>
  <c r="G437" i="1" s="1"/>
  <c r="F438" i="1" s="1" a="1"/>
  <c r="F438" i="1" s="1"/>
  <c r="H436" i="1" l="1"/>
  <c r="I436" i="1" a="1"/>
  <c r="I436" i="1" s="1"/>
  <c r="E437" i="1" a="1"/>
  <c r="E437" i="1" s="1"/>
  <c r="G438" i="1" a="1"/>
  <c r="G438" i="1" s="1"/>
  <c r="F439" i="1" s="1" a="1"/>
  <c r="F439" i="1" s="1"/>
  <c r="H437" i="1" l="1"/>
  <c r="I437" i="1" a="1"/>
  <c r="I437" i="1" s="1"/>
  <c r="E438" i="1" a="1"/>
  <c r="E438" i="1" s="1"/>
  <c r="G439" i="1" a="1"/>
  <c r="G439" i="1" s="1"/>
  <c r="F440" i="1" s="1" a="1"/>
  <c r="F440" i="1" s="1"/>
  <c r="H438" i="1" l="1"/>
  <c r="I438" i="1" a="1"/>
  <c r="I438" i="1" s="1"/>
  <c r="E439" i="1" a="1"/>
  <c r="E439" i="1" s="1"/>
  <c r="G440" i="1" a="1"/>
  <c r="G440" i="1" s="1"/>
  <c r="F441" i="1" s="1" a="1"/>
  <c r="F441" i="1" s="1"/>
  <c r="H439" i="1" l="1"/>
  <c r="I439" i="1" a="1"/>
  <c r="I439" i="1" s="1"/>
  <c r="E440" i="1" a="1"/>
  <c r="E440" i="1" s="1"/>
  <c r="G441" i="1" a="1"/>
  <c r="G441" i="1" s="1"/>
  <c r="F442" i="1" s="1" a="1"/>
  <c r="F442" i="1" s="1"/>
  <c r="H440" i="1" l="1"/>
  <c r="I440" i="1" a="1"/>
  <c r="I440" i="1" s="1"/>
  <c r="E441" i="1" a="1"/>
  <c r="E441" i="1" s="1"/>
  <c r="G442" i="1" a="1"/>
  <c r="G442" i="1" s="1"/>
  <c r="F443" i="1" s="1" a="1"/>
  <c r="F443" i="1" s="1"/>
  <c r="H441" i="1" l="1"/>
  <c r="I441" i="1" a="1"/>
  <c r="I441" i="1" s="1"/>
  <c r="E442" i="1" a="1"/>
  <c r="E442" i="1" s="1"/>
  <c r="G443" i="1" a="1"/>
  <c r="G443" i="1" s="1"/>
  <c r="F444" i="1" s="1" a="1"/>
  <c r="F444" i="1" s="1"/>
  <c r="H442" i="1" l="1"/>
  <c r="I442" i="1" a="1"/>
  <c r="I442" i="1" s="1"/>
  <c r="E443" i="1" a="1"/>
  <c r="E443" i="1" s="1"/>
  <c r="G444" i="1" a="1"/>
  <c r="G444" i="1" s="1"/>
  <c r="E444" i="1" s="1" a="1"/>
  <c r="E444" i="1" s="1"/>
  <c r="I444" i="1" s="1" a="1"/>
  <c r="I444" i="1" s="1"/>
  <c r="H443" i="1" l="1"/>
  <c r="H444" i="1" s="1"/>
  <c r="I443" i="1" a="1"/>
  <c r="I443" i="1" s="1"/>
  <c r="O38" i="1" s="1"/>
  <c r="F445" i="1" a="1"/>
  <c r="F445" i="1" s="1"/>
  <c r="P38" i="1" l="1"/>
  <c r="G445" i="1" a="1"/>
  <c r="G445" i="1" s="1"/>
  <c r="F446" i="1" s="1" a="1"/>
  <c r="F446" i="1" s="1"/>
  <c r="Q38" i="1" l="1"/>
  <c r="E445" i="1" a="1"/>
  <c r="E445" i="1" s="1"/>
  <c r="G446" i="1" a="1"/>
  <c r="G446" i="1" s="1"/>
  <c r="F447" i="1" s="1" a="1"/>
  <c r="F447" i="1" s="1"/>
  <c r="H445" i="1" l="1"/>
  <c r="I445" i="1" a="1"/>
  <c r="I445" i="1" s="1"/>
  <c r="E446" i="1" a="1"/>
  <c r="E446" i="1" s="1"/>
  <c r="G447" i="1" a="1"/>
  <c r="G447" i="1" s="1"/>
  <c r="F448" i="1" s="1" a="1"/>
  <c r="F448" i="1" s="1"/>
  <c r="H446" i="1" l="1"/>
  <c r="I446" i="1" a="1"/>
  <c r="I446" i="1" s="1"/>
  <c r="E447" i="1" a="1"/>
  <c r="E447" i="1" s="1"/>
  <c r="G448" i="1" a="1"/>
  <c r="G448" i="1" s="1"/>
  <c r="E448" i="1" s="1" a="1"/>
  <c r="E448" i="1" s="1"/>
  <c r="I448" i="1" s="1" a="1"/>
  <c r="I448" i="1" s="1"/>
  <c r="H447" i="1" l="1"/>
  <c r="H448" i="1" s="1"/>
  <c r="I447" i="1" a="1"/>
  <c r="I447" i="1" s="1"/>
  <c r="F449" i="1" a="1"/>
  <c r="F449" i="1" s="1"/>
  <c r="G449" i="1" l="1" a="1"/>
  <c r="G449" i="1" s="1"/>
  <c r="F450" i="1" s="1" a="1"/>
  <c r="F450" i="1" s="1"/>
  <c r="E449" i="1" l="1" a="1"/>
  <c r="E449" i="1" s="1"/>
  <c r="G450" i="1" a="1"/>
  <c r="G450" i="1" s="1"/>
  <c r="F451" i="1" s="1" a="1"/>
  <c r="F451" i="1" s="1"/>
  <c r="H449" i="1" l="1"/>
  <c r="I449" i="1" a="1"/>
  <c r="I449" i="1" s="1"/>
  <c r="E450" i="1" a="1"/>
  <c r="E450" i="1" s="1"/>
  <c r="G451" i="1" a="1"/>
  <c r="G451" i="1" s="1"/>
  <c r="F452" i="1" s="1" a="1"/>
  <c r="F452" i="1" s="1"/>
  <c r="H450" i="1" l="1"/>
  <c r="I450" i="1" a="1"/>
  <c r="I450" i="1" s="1"/>
  <c r="E451" i="1" a="1"/>
  <c r="E451" i="1" s="1"/>
  <c r="G452" i="1" a="1"/>
  <c r="G452" i="1" s="1"/>
  <c r="F453" i="1" s="1" a="1"/>
  <c r="F453" i="1" s="1"/>
  <c r="H451" i="1" l="1"/>
  <c r="I451" i="1" a="1"/>
  <c r="I451" i="1" s="1"/>
  <c r="E452" i="1" a="1"/>
  <c r="E452" i="1" s="1"/>
  <c r="G453" i="1" a="1"/>
  <c r="G453" i="1" s="1"/>
  <c r="F454" i="1" s="1" a="1"/>
  <c r="F454" i="1" s="1"/>
  <c r="H452" i="1" l="1"/>
  <c r="I452" i="1" a="1"/>
  <c r="I452" i="1" s="1"/>
  <c r="E453" i="1" a="1"/>
  <c r="E453" i="1" s="1"/>
  <c r="G454" i="1" a="1"/>
  <c r="G454" i="1" s="1"/>
  <c r="E454" i="1" s="1" a="1"/>
  <c r="E454" i="1" s="1"/>
  <c r="I454" i="1" s="1" a="1"/>
  <c r="I454" i="1" s="1"/>
  <c r="H453" i="1" l="1"/>
  <c r="H454" i="1" s="1"/>
  <c r="I453" i="1" a="1"/>
  <c r="I453" i="1" s="1"/>
  <c r="F455" i="1" a="1"/>
  <c r="F455" i="1" s="1"/>
  <c r="G455" i="1" l="1" a="1"/>
  <c r="G455" i="1" s="1"/>
  <c r="F456" i="1" s="1" a="1"/>
  <c r="F456" i="1" s="1"/>
  <c r="E455" i="1" l="1" a="1"/>
  <c r="E455" i="1" s="1"/>
  <c r="G456" i="1" a="1"/>
  <c r="G456" i="1" s="1"/>
  <c r="F457" i="1" s="1" a="1"/>
  <c r="F457" i="1" s="1"/>
  <c r="H455" i="1" l="1"/>
  <c r="I455" i="1" a="1"/>
  <c r="I455" i="1" s="1"/>
  <c r="O39" i="1" s="1"/>
  <c r="E456" i="1" a="1"/>
  <c r="E456" i="1" s="1"/>
  <c r="G457" i="1" a="1"/>
  <c r="G457" i="1" s="1"/>
  <c r="E457" i="1" s="1" a="1"/>
  <c r="E457" i="1" s="1"/>
  <c r="I457" i="1" s="1" a="1"/>
  <c r="I457" i="1" s="1"/>
  <c r="H456" i="1" l="1"/>
  <c r="I456" i="1" a="1"/>
  <c r="I456" i="1" s="1"/>
  <c r="F458" i="1" a="1"/>
  <c r="F458" i="1" s="1"/>
  <c r="H457" i="1" l="1"/>
  <c r="P39" i="1"/>
  <c r="Q39" i="1" s="1"/>
  <c r="G458" i="1" a="1"/>
  <c r="G458" i="1" s="1"/>
  <c r="E458" i="1" l="1" a="1"/>
  <c r="E458" i="1" s="1"/>
  <c r="F459" i="1" a="1"/>
  <c r="F459" i="1" s="1"/>
  <c r="H458" i="1" l="1"/>
  <c r="I458" i="1" a="1"/>
  <c r="I458" i="1" s="1"/>
  <c r="G459" i="1" a="1"/>
  <c r="G459" i="1" s="1"/>
  <c r="E459" i="1" l="1" a="1"/>
  <c r="E459" i="1" s="1"/>
  <c r="F460" i="1" a="1"/>
  <c r="F460" i="1" s="1"/>
  <c r="H459" i="1" l="1"/>
  <c r="I459" i="1" a="1"/>
  <c r="I459" i="1" s="1"/>
  <c r="G460" i="1" a="1"/>
  <c r="G460" i="1" s="1"/>
  <c r="E460" i="1" l="1" a="1"/>
  <c r="E460" i="1" s="1"/>
  <c r="F461" i="1" a="1"/>
  <c r="F461" i="1" s="1"/>
  <c r="H460" i="1" l="1"/>
  <c r="I460" i="1" a="1"/>
  <c r="I460" i="1" s="1"/>
  <c r="G461" i="1" a="1"/>
  <c r="G461" i="1" s="1"/>
  <c r="F462" i="1" s="1" a="1"/>
  <c r="F462" i="1" s="1"/>
  <c r="E461" i="1" l="1" a="1"/>
  <c r="E461" i="1" s="1"/>
  <c r="G462" i="1" a="1"/>
  <c r="G462" i="1" s="1"/>
  <c r="F463" i="1" s="1" a="1"/>
  <c r="F463" i="1" s="1"/>
  <c r="H461" i="1" l="1"/>
  <c r="I461" i="1" a="1"/>
  <c r="I461" i="1" s="1"/>
  <c r="E462" i="1" a="1"/>
  <c r="E462" i="1" s="1"/>
  <c r="G463" i="1" a="1"/>
  <c r="G463" i="1" s="1"/>
  <c r="E463" i="1" s="1" a="1"/>
  <c r="E463" i="1" s="1"/>
  <c r="I463" i="1" s="1" a="1"/>
  <c r="I463" i="1" s="1"/>
  <c r="H462" i="1" l="1"/>
  <c r="H463" i="1" s="1"/>
  <c r="I462" i="1" a="1"/>
  <c r="I462" i="1" s="1"/>
  <c r="F464" i="1" a="1"/>
  <c r="F464" i="1" s="1"/>
  <c r="G464" i="1" l="1" a="1"/>
  <c r="G464" i="1" s="1"/>
  <c r="E464" i="1" l="1" a="1"/>
  <c r="E464" i="1" s="1"/>
  <c r="F465" i="1" a="1"/>
  <c r="F465" i="1" s="1"/>
  <c r="H464" i="1" l="1"/>
  <c r="I464" i="1" a="1"/>
  <c r="I464" i="1" s="1"/>
  <c r="G465" i="1" a="1"/>
  <c r="G465" i="1" s="1"/>
  <c r="E465" i="1" l="1" a="1"/>
  <c r="E465" i="1" s="1"/>
  <c r="F466" i="1" a="1"/>
  <c r="F466" i="1" s="1"/>
  <c r="H465" i="1" l="1"/>
  <c r="I465" i="1" a="1"/>
  <c r="I465" i="1" s="1"/>
  <c r="G466" i="1" a="1"/>
  <c r="G466" i="1" s="1"/>
  <c r="F467" i="1" s="1" a="1"/>
  <c r="F467" i="1" s="1"/>
  <c r="E466" i="1" l="1" a="1"/>
  <c r="E466" i="1" s="1"/>
  <c r="G467" i="1" a="1"/>
  <c r="G467" i="1" s="1"/>
  <c r="F468" i="1" s="1" a="1"/>
  <c r="F468" i="1" s="1"/>
  <c r="H466" i="1" l="1"/>
  <c r="I466" i="1" a="1"/>
  <c r="I466" i="1" s="1"/>
  <c r="E467" i="1" a="1"/>
  <c r="E467" i="1" s="1"/>
  <c r="G468" i="1" a="1"/>
  <c r="G468" i="1" s="1"/>
  <c r="F469" i="1" s="1" a="1"/>
  <c r="F469" i="1" s="1"/>
  <c r="H467" i="1" l="1"/>
  <c r="I467" i="1" a="1"/>
  <c r="I467" i="1" s="1"/>
  <c r="O40" i="1" s="1"/>
  <c r="E468" i="1" a="1"/>
  <c r="E468" i="1" s="1"/>
  <c r="G469" i="1" a="1"/>
  <c r="G469" i="1" s="1"/>
  <c r="E469" i="1" s="1" a="1"/>
  <c r="E469" i="1" s="1"/>
  <c r="I469" i="1" s="1" a="1"/>
  <c r="I469" i="1" s="1"/>
  <c r="H468" i="1" l="1"/>
  <c r="I468" i="1" a="1"/>
  <c r="I468" i="1" s="1"/>
  <c r="F470" i="1" a="1"/>
  <c r="F470" i="1" s="1"/>
  <c r="H469" i="1" l="1"/>
  <c r="P40" i="1"/>
  <c r="Q40" i="1" s="1"/>
  <c r="G470" i="1" a="1"/>
  <c r="G470" i="1" s="1"/>
  <c r="E470" i="1" l="1" a="1"/>
  <c r="E470" i="1" s="1"/>
  <c r="F471" i="1" a="1"/>
  <c r="F471" i="1" s="1"/>
  <c r="H470" i="1" l="1"/>
  <c r="I470" i="1" a="1"/>
  <c r="I470" i="1" s="1"/>
  <c r="G471" i="1" a="1"/>
  <c r="G471" i="1" s="1"/>
  <c r="E471" i="1" l="1" a="1"/>
  <c r="E471" i="1" s="1"/>
  <c r="F472" i="1" a="1"/>
  <c r="F472" i="1" s="1"/>
  <c r="H471" i="1" l="1"/>
  <c r="I471" i="1" a="1"/>
  <c r="I471" i="1" s="1"/>
  <c r="G472" i="1" a="1"/>
  <c r="G472" i="1" s="1"/>
  <c r="F473" i="1" s="1" a="1"/>
  <c r="F473" i="1" s="1"/>
  <c r="E472" i="1" l="1" a="1"/>
  <c r="E472" i="1" s="1"/>
  <c r="G473" i="1" a="1"/>
  <c r="G473" i="1" s="1"/>
  <c r="F474" i="1" s="1" a="1"/>
  <c r="F474" i="1" s="1"/>
  <c r="H472" i="1" l="1"/>
  <c r="I472" i="1" a="1"/>
  <c r="I472" i="1" s="1"/>
  <c r="E473" i="1" a="1"/>
  <c r="E473" i="1" s="1"/>
  <c r="G474" i="1" a="1"/>
  <c r="G474" i="1" s="1"/>
  <c r="F475" i="1" s="1" a="1"/>
  <c r="F475" i="1" s="1"/>
  <c r="H473" i="1" l="1"/>
  <c r="I473" i="1" a="1"/>
  <c r="I473" i="1" s="1"/>
  <c r="E474" i="1" a="1"/>
  <c r="E474" i="1" s="1"/>
  <c r="G475" i="1" a="1"/>
  <c r="G475" i="1" s="1"/>
  <c r="F476" i="1" s="1" a="1"/>
  <c r="F476" i="1" s="1"/>
  <c r="H474" i="1" l="1"/>
  <c r="I474" i="1" a="1"/>
  <c r="I474" i="1" s="1"/>
  <c r="E475" i="1" a="1"/>
  <c r="E475" i="1" s="1"/>
  <c r="G476" i="1" a="1"/>
  <c r="G476" i="1" s="1"/>
  <c r="E476" i="1" s="1" a="1"/>
  <c r="E476" i="1" s="1"/>
  <c r="I476" i="1" s="1" a="1"/>
  <c r="I476" i="1" s="1"/>
  <c r="H475" i="1" l="1"/>
  <c r="H476" i="1" s="1"/>
  <c r="I475" i="1" a="1"/>
  <c r="I475" i="1" s="1"/>
  <c r="F477" i="1" a="1"/>
  <c r="F477" i="1" s="1"/>
  <c r="G477" i="1" l="1" a="1"/>
  <c r="G477" i="1" s="1"/>
  <c r="E477" i="1" l="1" a="1"/>
  <c r="E477" i="1" s="1"/>
  <c r="F478" i="1" a="1"/>
  <c r="F478" i="1" s="1"/>
  <c r="H477" i="1" l="1"/>
  <c r="I477" i="1" a="1"/>
  <c r="I477" i="1" s="1"/>
  <c r="G478" i="1" a="1"/>
  <c r="G478" i="1" s="1"/>
  <c r="E478" i="1" l="1" a="1"/>
  <c r="E478" i="1" s="1"/>
  <c r="F479" i="1" a="1"/>
  <c r="F479" i="1" s="1"/>
  <c r="H478" i="1" l="1"/>
  <c r="I478" i="1" a="1"/>
  <c r="I478" i="1" s="1"/>
  <c r="G479" i="1" a="1"/>
  <c r="G479" i="1" s="1"/>
  <c r="F480" i="1" s="1" a="1"/>
  <c r="F480" i="1" s="1"/>
  <c r="E479" i="1" l="1" a="1"/>
  <c r="E479" i="1" s="1"/>
  <c r="G480" i="1" a="1"/>
  <c r="G480" i="1" s="1"/>
  <c r="F481" i="1" s="1" a="1"/>
  <c r="F481" i="1" s="1"/>
  <c r="H479" i="1" l="1"/>
  <c r="I479" i="1" a="1"/>
  <c r="I479" i="1" s="1"/>
  <c r="O41" i="1" s="1"/>
  <c r="E480" i="1" a="1"/>
  <c r="E480" i="1" s="1"/>
  <c r="G481" i="1" a="1"/>
  <c r="G481" i="1" s="1"/>
  <c r="E481" i="1" s="1" a="1"/>
  <c r="E481" i="1" s="1"/>
  <c r="I481" i="1" s="1" a="1"/>
  <c r="I481" i="1" s="1"/>
  <c r="H480" i="1" l="1"/>
  <c r="I480" i="1" a="1"/>
  <c r="I480" i="1" s="1"/>
  <c r="F482" i="1" a="1"/>
  <c r="F482" i="1" s="1"/>
  <c r="H481" i="1" l="1"/>
  <c r="P41" i="1"/>
  <c r="Q41" i="1" s="1"/>
  <c r="G482" i="1" a="1"/>
  <c r="G482" i="1" s="1"/>
  <c r="E482" i="1" l="1" a="1"/>
  <c r="E482" i="1" s="1"/>
  <c r="F483" i="1" a="1"/>
  <c r="F483" i="1" s="1"/>
  <c r="H482" i="1" l="1"/>
  <c r="I482" i="1" a="1"/>
  <c r="I482" i="1" s="1"/>
  <c r="G483" i="1" a="1"/>
  <c r="G483" i="1" s="1"/>
  <c r="E483" i="1" l="1" a="1"/>
  <c r="E483" i="1" s="1"/>
  <c r="F484" i="1" a="1"/>
  <c r="F484" i="1" s="1"/>
  <c r="H483" i="1" l="1"/>
  <c r="I483" i="1" a="1"/>
  <c r="I483" i="1" s="1"/>
  <c r="G484" i="1" a="1"/>
  <c r="G484" i="1" s="1"/>
  <c r="F485" i="1" s="1" a="1"/>
  <c r="F485" i="1" s="1"/>
  <c r="E484" i="1" l="1" a="1"/>
  <c r="E484" i="1" s="1"/>
  <c r="G485" i="1" a="1"/>
  <c r="G485" i="1" s="1"/>
  <c r="F486" i="1" s="1" a="1"/>
  <c r="F486" i="1" s="1"/>
  <c r="H484" i="1" l="1"/>
  <c r="I484" i="1" a="1"/>
  <c r="I484" i="1" s="1"/>
  <c r="E485" i="1" a="1"/>
  <c r="E485" i="1" s="1"/>
  <c r="G486" i="1" a="1"/>
  <c r="G486" i="1" s="1"/>
  <c r="F487" i="1" s="1" a="1"/>
  <c r="F487" i="1" s="1"/>
  <c r="H485" i="1" l="1"/>
  <c r="I485" i="1" a="1"/>
  <c r="I485" i="1" s="1"/>
  <c r="E486" i="1" a="1"/>
  <c r="E486" i="1" s="1"/>
  <c r="G487" i="1" a="1"/>
  <c r="G487" i="1" s="1"/>
  <c r="E487" i="1" s="1" a="1"/>
  <c r="E487" i="1" s="1"/>
  <c r="I487" i="1" s="1" a="1"/>
  <c r="I487" i="1" s="1"/>
  <c r="H486" i="1" l="1"/>
  <c r="H487" i="1" s="1"/>
  <c r="I486" i="1" a="1"/>
  <c r="I486" i="1" s="1"/>
  <c r="F488" i="1" a="1"/>
  <c r="F488" i="1" s="1"/>
  <c r="G488" i="1" l="1" a="1"/>
  <c r="G488" i="1" s="1"/>
  <c r="E488" i="1" l="1" a="1"/>
  <c r="E488" i="1" s="1"/>
  <c r="F489" i="1" a="1"/>
  <c r="F489" i="1" s="1"/>
  <c r="H488" i="1" l="1"/>
  <c r="I488" i="1" a="1"/>
  <c r="I488" i="1" s="1"/>
  <c r="G489" i="1" a="1"/>
  <c r="G489" i="1" s="1"/>
  <c r="E489" i="1" l="1" a="1"/>
  <c r="E489" i="1" s="1"/>
  <c r="F490" i="1" a="1"/>
  <c r="F490" i="1" s="1"/>
  <c r="H489" i="1" l="1"/>
  <c r="I489" i="1" a="1"/>
  <c r="I489" i="1" s="1"/>
  <c r="G490" i="1" a="1"/>
  <c r="G490" i="1" s="1"/>
  <c r="F491" i="1" s="1" a="1"/>
  <c r="F491" i="1" s="1"/>
  <c r="E490" i="1" l="1" a="1"/>
  <c r="E490" i="1" s="1"/>
  <c r="G491" i="1" a="1"/>
  <c r="G491" i="1" s="1"/>
  <c r="F492" i="1" s="1" a="1"/>
  <c r="F492" i="1" s="1"/>
  <c r="H490" i="1" l="1"/>
  <c r="I490" i="1" a="1"/>
  <c r="I490" i="1" s="1"/>
  <c r="E491" i="1" a="1"/>
  <c r="E491" i="1" s="1"/>
  <c r="G492" i="1" a="1"/>
  <c r="G492" i="1" s="1"/>
  <c r="F493" i="1" s="1" a="1"/>
  <c r="F493" i="1" s="1"/>
  <c r="H491" i="1" l="1"/>
  <c r="I491" i="1" a="1"/>
  <c r="I491" i="1" s="1"/>
  <c r="O42" i="1" s="1"/>
  <c r="E492" i="1" a="1"/>
  <c r="E492" i="1" s="1"/>
  <c r="G493" i="1" a="1"/>
  <c r="G493" i="1" s="1"/>
  <c r="E493" i="1" s="1" a="1"/>
  <c r="E493" i="1" s="1"/>
  <c r="I493" i="1" s="1" a="1"/>
  <c r="I493" i="1" s="1"/>
  <c r="H492" i="1" l="1"/>
  <c r="I492" i="1" a="1"/>
  <c r="I492" i="1" s="1"/>
  <c r="F494" i="1" a="1"/>
  <c r="F494" i="1" s="1"/>
  <c r="H493" i="1" l="1"/>
  <c r="P42" i="1"/>
  <c r="Q42" i="1" s="1"/>
  <c r="G494" i="1" a="1"/>
  <c r="G494" i="1" s="1"/>
  <c r="E494" i="1" l="1" a="1"/>
  <c r="E494" i="1" s="1"/>
  <c r="F495" i="1" a="1"/>
  <c r="F495" i="1" s="1"/>
  <c r="H494" i="1" l="1"/>
  <c r="I494" i="1" a="1"/>
  <c r="I494" i="1" s="1"/>
  <c r="G495" i="1" a="1"/>
  <c r="G495" i="1" s="1"/>
  <c r="E495" i="1" l="1" a="1"/>
  <c r="E495" i="1" s="1"/>
  <c r="F496" i="1" a="1"/>
  <c r="F496" i="1" s="1"/>
  <c r="H495" i="1" l="1"/>
  <c r="I495" i="1" a="1"/>
  <c r="I495" i="1" s="1"/>
  <c r="G496" i="1" a="1"/>
  <c r="G496" i="1" s="1"/>
  <c r="E496" i="1" l="1" a="1"/>
  <c r="E496" i="1" s="1"/>
  <c r="F497" i="1" a="1"/>
  <c r="F497" i="1" s="1"/>
  <c r="H496" i="1" l="1"/>
  <c r="I496" i="1" a="1"/>
  <c r="I496" i="1" s="1"/>
  <c r="G497" i="1" a="1"/>
  <c r="G497" i="1" s="1"/>
  <c r="F498" i="1" s="1" a="1"/>
  <c r="F498" i="1" s="1"/>
  <c r="E497" i="1" l="1" a="1"/>
  <c r="E497" i="1" s="1"/>
  <c r="G498" i="1" a="1"/>
  <c r="G498" i="1" s="1"/>
  <c r="F499" i="1" s="1" a="1"/>
  <c r="F499" i="1" s="1"/>
  <c r="H497" i="1" l="1"/>
  <c r="I497" i="1" a="1"/>
  <c r="I497" i="1" s="1"/>
  <c r="E498" i="1" a="1"/>
  <c r="E498" i="1" s="1"/>
  <c r="G499" i="1" a="1"/>
  <c r="G499" i="1" s="1"/>
  <c r="E499" i="1" s="1" a="1"/>
  <c r="E499" i="1" s="1"/>
  <c r="I499" i="1" s="1" a="1"/>
  <c r="I499" i="1" s="1"/>
  <c r="H498" i="1" l="1"/>
  <c r="H499" i="1" s="1"/>
  <c r="I498" i="1" a="1"/>
  <c r="I498" i="1" s="1"/>
  <c r="F500" i="1" a="1"/>
  <c r="F500" i="1" s="1"/>
  <c r="G500" i="1" l="1" a="1"/>
  <c r="G500" i="1" s="1"/>
  <c r="E500" i="1" l="1" a="1"/>
  <c r="E500" i="1" s="1"/>
  <c r="F501" i="1" a="1"/>
  <c r="F501" i="1" s="1"/>
  <c r="H500" i="1" l="1"/>
  <c r="I500" i="1" a="1"/>
  <c r="I500" i="1" s="1"/>
  <c r="G501" i="1" a="1"/>
  <c r="G501" i="1" s="1"/>
  <c r="E501" i="1" l="1" a="1"/>
  <c r="E501" i="1" s="1"/>
  <c r="F502" i="1" a="1"/>
  <c r="F502" i="1" s="1"/>
  <c r="H501" i="1" l="1"/>
  <c r="I501" i="1" a="1"/>
  <c r="I501" i="1" s="1"/>
  <c r="G502" i="1" a="1"/>
  <c r="G502" i="1" s="1"/>
  <c r="E502" i="1" l="1" a="1"/>
  <c r="E502" i="1" s="1"/>
  <c r="F503" i="1" a="1"/>
  <c r="F503" i="1" s="1"/>
  <c r="H502" i="1" l="1"/>
  <c r="I502" i="1" a="1"/>
  <c r="I502" i="1" s="1"/>
  <c r="G503" i="1" a="1"/>
  <c r="G503" i="1" s="1"/>
  <c r="F504" i="1" s="1" a="1"/>
  <c r="F504" i="1" s="1"/>
  <c r="E503" i="1" l="1" a="1"/>
  <c r="E503" i="1" s="1"/>
  <c r="G504" i="1" a="1"/>
  <c r="G504" i="1" s="1"/>
  <c r="F505" i="1" s="1" a="1"/>
  <c r="F505" i="1" s="1"/>
  <c r="H503" i="1" l="1"/>
  <c r="I503" i="1" a="1"/>
  <c r="I503" i="1" s="1"/>
  <c r="O43" i="1" s="1"/>
  <c r="E504" i="1" a="1"/>
  <c r="E504" i="1" s="1"/>
  <c r="G505" i="1" a="1"/>
  <c r="G505" i="1" s="1"/>
  <c r="F506" i="1" s="1" a="1"/>
  <c r="F506" i="1" s="1"/>
  <c r="H504" i="1" l="1"/>
  <c r="P43" i="1" s="1"/>
  <c r="I504" i="1" a="1"/>
  <c r="I504" i="1" s="1"/>
  <c r="E505" i="1" a="1"/>
  <c r="E505" i="1" s="1"/>
  <c r="G506" i="1" a="1"/>
  <c r="G506" i="1" s="1"/>
  <c r="F507" i="1" s="1" a="1"/>
  <c r="F507" i="1" s="1"/>
  <c r="Q43" i="1" l="1"/>
  <c r="H505" i="1"/>
  <c r="I505" i="1" a="1"/>
  <c r="I505" i="1" s="1"/>
  <c r="E506" i="1" a="1"/>
  <c r="E506" i="1" s="1"/>
  <c r="G507" i="1" a="1"/>
  <c r="G507" i="1" s="1"/>
  <c r="F508" i="1" s="1" a="1"/>
  <c r="F508" i="1" s="1"/>
  <c r="H506" i="1" l="1"/>
  <c r="I506" i="1" a="1"/>
  <c r="I506" i="1" s="1"/>
  <c r="E507" i="1" a="1"/>
  <c r="E507" i="1" s="1"/>
  <c r="G508" i="1" a="1"/>
  <c r="G508" i="1" s="1"/>
  <c r="E508" i="1" s="1" a="1"/>
  <c r="E508" i="1" s="1"/>
  <c r="I508" i="1" s="1" a="1"/>
  <c r="I508" i="1" s="1"/>
  <c r="H507" i="1" l="1"/>
  <c r="H508" i="1" s="1"/>
  <c r="I507" i="1" a="1"/>
  <c r="I507" i="1" s="1"/>
  <c r="F509" i="1" a="1"/>
  <c r="F509" i="1" s="1"/>
  <c r="G509" i="1" l="1" a="1"/>
  <c r="G509" i="1" s="1"/>
  <c r="F510" i="1" s="1" a="1"/>
  <c r="F510" i="1" s="1"/>
  <c r="E509" i="1" l="1" a="1"/>
  <c r="E509" i="1" s="1"/>
  <c r="G510" i="1" a="1"/>
  <c r="G510" i="1" s="1"/>
  <c r="F511" i="1" s="1" a="1"/>
  <c r="F511" i="1" s="1"/>
  <c r="H509" i="1" l="1"/>
  <c r="I509" i="1" a="1"/>
  <c r="I509" i="1" s="1"/>
  <c r="E510" i="1" a="1"/>
  <c r="E510" i="1" s="1"/>
  <c r="G511" i="1" a="1"/>
  <c r="G511" i="1" s="1"/>
  <c r="F512" i="1" s="1" a="1"/>
  <c r="F512" i="1" s="1"/>
  <c r="H510" i="1" l="1"/>
  <c r="I510" i="1" a="1"/>
  <c r="I510" i="1" s="1"/>
  <c r="E511" i="1" a="1"/>
  <c r="E511" i="1" s="1"/>
  <c r="G512" i="1" a="1"/>
  <c r="G512" i="1" s="1"/>
  <c r="E512" i="1" s="1" a="1"/>
  <c r="E512" i="1" s="1"/>
  <c r="I512" i="1" s="1" a="1"/>
  <c r="I512" i="1" s="1"/>
  <c r="H511" i="1" l="1"/>
  <c r="H512" i="1" s="1"/>
  <c r="I511" i="1" a="1"/>
  <c r="I511" i="1" s="1"/>
  <c r="F513" i="1" a="1"/>
  <c r="F513" i="1" s="1"/>
  <c r="G513" i="1" l="1" a="1"/>
  <c r="G513" i="1" s="1"/>
  <c r="E513" i="1" l="1" a="1"/>
  <c r="E513" i="1" s="1"/>
  <c r="F514" i="1" a="1"/>
  <c r="F514" i="1" s="1"/>
  <c r="H513" i="1" l="1"/>
  <c r="I513" i="1" a="1"/>
  <c r="I513" i="1" s="1"/>
  <c r="G514" i="1" a="1"/>
  <c r="G514" i="1" s="1"/>
  <c r="E514" i="1" l="1" a="1"/>
  <c r="E514" i="1" s="1"/>
  <c r="F515" i="1" a="1"/>
  <c r="F515" i="1" s="1"/>
  <c r="H514" i="1" l="1"/>
  <c r="I514" i="1" a="1"/>
  <c r="I514" i="1" s="1"/>
  <c r="G515" i="1" a="1"/>
  <c r="G515" i="1" s="1"/>
  <c r="F516" i="1" s="1" a="1"/>
  <c r="F516" i="1" s="1"/>
  <c r="E515" i="1" l="1" a="1"/>
  <c r="E515" i="1" s="1"/>
  <c r="G516" i="1" a="1"/>
  <c r="G516" i="1" s="1"/>
  <c r="F517" i="1" s="1" a="1"/>
  <c r="F517" i="1" s="1"/>
  <c r="H515" i="1" l="1"/>
  <c r="I515" i="1" a="1"/>
  <c r="I515" i="1" s="1"/>
  <c r="O44" i="1" s="1"/>
  <c r="E516" i="1" a="1"/>
  <c r="E516" i="1" s="1"/>
  <c r="G517" i="1" a="1"/>
  <c r="G517" i="1" s="1"/>
  <c r="F518" i="1" s="1" a="1"/>
  <c r="F518" i="1" s="1"/>
  <c r="H516" i="1" l="1"/>
  <c r="P44" i="1" s="1"/>
  <c r="I516" i="1" a="1"/>
  <c r="I516" i="1" s="1"/>
  <c r="E517" i="1" a="1"/>
  <c r="E517" i="1" s="1"/>
  <c r="G518" i="1" a="1"/>
  <c r="G518" i="1" s="1"/>
  <c r="F519" i="1" s="1" a="1"/>
  <c r="F519" i="1" s="1"/>
  <c r="Q44" i="1" l="1"/>
  <c r="H517" i="1"/>
  <c r="I517" i="1" a="1"/>
  <c r="I517" i="1" s="1"/>
  <c r="E518" i="1" a="1"/>
  <c r="E518" i="1" s="1"/>
  <c r="G519" i="1" a="1"/>
  <c r="G519" i="1" s="1"/>
  <c r="F520" i="1" s="1" a="1"/>
  <c r="F520" i="1" s="1"/>
  <c r="H518" i="1" l="1"/>
  <c r="I518" i="1" a="1"/>
  <c r="I518" i="1" s="1"/>
  <c r="E519" i="1" a="1"/>
  <c r="E519" i="1" s="1"/>
  <c r="G520" i="1" a="1"/>
  <c r="G520" i="1" s="1"/>
  <c r="E520" i="1" s="1" a="1"/>
  <c r="E520" i="1" s="1"/>
  <c r="I520" i="1" s="1" a="1"/>
  <c r="I520" i="1" s="1"/>
  <c r="H519" i="1" l="1"/>
  <c r="H520" i="1" s="1"/>
  <c r="I519" i="1" a="1"/>
  <c r="I519" i="1" s="1"/>
  <c r="F521" i="1" a="1"/>
  <c r="F521" i="1" s="1"/>
  <c r="G521" i="1" l="1" a="1"/>
  <c r="G521" i="1" s="1"/>
  <c r="F522" i="1" s="1" a="1"/>
  <c r="F522" i="1" s="1"/>
  <c r="E521" i="1" l="1" a="1"/>
  <c r="E521" i="1" s="1"/>
  <c r="G522" i="1" a="1"/>
  <c r="G522" i="1" s="1"/>
  <c r="F523" i="1" s="1" a="1"/>
  <c r="F523" i="1" s="1"/>
  <c r="H521" i="1" l="1"/>
  <c r="I521" i="1" a="1"/>
  <c r="I521" i="1" s="1"/>
  <c r="E522" i="1" a="1"/>
  <c r="E522" i="1" s="1"/>
  <c r="G523" i="1" a="1"/>
  <c r="G523" i="1" s="1"/>
  <c r="F524" i="1" s="1" a="1"/>
  <c r="F524" i="1" s="1"/>
  <c r="H522" i="1" l="1"/>
  <c r="I522" i="1" a="1"/>
  <c r="I522" i="1" s="1"/>
  <c r="E523" i="1" a="1"/>
  <c r="E523" i="1" s="1"/>
  <c r="G524" i="1" a="1"/>
  <c r="G524" i="1" s="1"/>
  <c r="F525" i="1" s="1" a="1"/>
  <c r="F525" i="1" s="1"/>
  <c r="H523" i="1" l="1"/>
  <c r="I523" i="1" a="1"/>
  <c r="I523" i="1" s="1"/>
  <c r="E524" i="1" a="1"/>
  <c r="E524" i="1" s="1"/>
  <c r="G525" i="1" a="1"/>
  <c r="G525" i="1" s="1"/>
  <c r="E525" i="1" s="1" a="1"/>
  <c r="E525" i="1" s="1"/>
  <c r="I525" i="1" s="1" a="1"/>
  <c r="I525" i="1" s="1"/>
  <c r="H524" i="1" l="1"/>
  <c r="H525" i="1" s="1"/>
  <c r="I524" i="1" a="1"/>
  <c r="I524" i="1" s="1"/>
  <c r="F526" i="1" a="1"/>
  <c r="F526" i="1" s="1"/>
  <c r="G526" i="1" l="1" a="1"/>
  <c r="G526" i="1" s="1"/>
  <c r="E526" i="1" l="1" a="1"/>
  <c r="E526" i="1" s="1"/>
  <c r="F527" i="1" a="1"/>
  <c r="F527" i="1" s="1"/>
  <c r="H526" i="1" l="1"/>
  <c r="I526" i="1" a="1"/>
  <c r="I526" i="1" s="1"/>
  <c r="G527" i="1" a="1"/>
  <c r="G527" i="1" s="1"/>
  <c r="F528" i="1" s="1" a="1"/>
  <c r="F528" i="1" s="1"/>
  <c r="E527" i="1" l="1" a="1"/>
  <c r="E527" i="1" s="1"/>
  <c r="G528" i="1" a="1"/>
  <c r="G528" i="1" s="1"/>
  <c r="F529" i="1" s="1" a="1"/>
  <c r="F529" i="1" s="1"/>
  <c r="H527" i="1" l="1"/>
  <c r="I527" i="1" a="1"/>
  <c r="I527" i="1" s="1"/>
  <c r="O45" i="1" s="1"/>
  <c r="E528" i="1" a="1"/>
  <c r="E528" i="1" s="1"/>
  <c r="G529" i="1" a="1"/>
  <c r="G529" i="1" s="1"/>
  <c r="F530" i="1" s="1" a="1"/>
  <c r="F530" i="1" s="1"/>
  <c r="H528" i="1" l="1"/>
  <c r="P45" i="1" s="1"/>
  <c r="I528" i="1" a="1"/>
  <c r="I528" i="1" s="1"/>
  <c r="E529" i="1" a="1"/>
  <c r="E529" i="1" s="1"/>
  <c r="G530" i="1" a="1"/>
  <c r="G530" i="1" s="1"/>
  <c r="F531" i="1" s="1" a="1"/>
  <c r="F531" i="1" s="1"/>
  <c r="Q45" i="1" l="1"/>
  <c r="H529" i="1"/>
  <c r="I529" i="1" a="1"/>
  <c r="I529" i="1" s="1"/>
  <c r="E530" i="1" a="1"/>
  <c r="E530" i="1" s="1"/>
  <c r="G531" i="1" a="1"/>
  <c r="G531" i="1" s="1"/>
  <c r="F532" i="1" s="1" a="1"/>
  <c r="F532" i="1" s="1"/>
  <c r="H530" i="1" l="1"/>
  <c r="I530" i="1" a="1"/>
  <c r="I530" i="1" s="1"/>
  <c r="E531" i="1" a="1"/>
  <c r="E531" i="1" s="1"/>
  <c r="G532" i="1" a="1"/>
  <c r="G532" i="1" s="1"/>
  <c r="E532" i="1" s="1" a="1"/>
  <c r="E532" i="1" s="1"/>
  <c r="I532" i="1" s="1" a="1"/>
  <c r="I532" i="1" s="1"/>
  <c r="H531" i="1" l="1"/>
  <c r="H532" i="1" s="1"/>
  <c r="I531" i="1" a="1"/>
  <c r="I531" i="1" s="1"/>
  <c r="F533" i="1" a="1"/>
  <c r="F533" i="1" s="1"/>
  <c r="G533" i="1" l="1" a="1"/>
  <c r="G533" i="1" s="1"/>
  <c r="F534" i="1" s="1" a="1"/>
  <c r="F534" i="1" s="1"/>
  <c r="E533" i="1" l="1" a="1"/>
  <c r="E533" i="1" s="1"/>
  <c r="G534" i="1" a="1"/>
  <c r="G534" i="1" s="1"/>
  <c r="F535" i="1" s="1" a="1"/>
  <c r="F535" i="1" s="1"/>
  <c r="H533" i="1" l="1"/>
  <c r="I533" i="1" a="1"/>
  <c r="I533" i="1" s="1"/>
  <c r="E534" i="1" a="1"/>
  <c r="E534" i="1" s="1"/>
  <c r="G535" i="1" a="1"/>
  <c r="G535" i="1" s="1"/>
  <c r="F536" i="1" s="1" a="1"/>
  <c r="F536" i="1" s="1"/>
  <c r="H534" i="1" l="1"/>
  <c r="I534" i="1" a="1"/>
  <c r="I534" i="1" s="1"/>
  <c r="E535" i="1" a="1"/>
  <c r="E535" i="1" s="1"/>
  <c r="G536" i="1" a="1"/>
  <c r="G536" i="1" s="1"/>
  <c r="E536" i="1" s="1" a="1"/>
  <c r="E536" i="1" s="1"/>
  <c r="I536" i="1" s="1" a="1"/>
  <c r="I536" i="1" s="1"/>
  <c r="H535" i="1" l="1"/>
  <c r="H536" i="1" s="1"/>
  <c r="I535" i="1" a="1"/>
  <c r="I535" i="1" s="1"/>
  <c r="F537" i="1" a="1"/>
  <c r="F537" i="1" s="1"/>
  <c r="G537" i="1" l="1" a="1"/>
  <c r="G537" i="1" s="1"/>
  <c r="E537" i="1" l="1" a="1"/>
  <c r="E537" i="1" s="1"/>
  <c r="F538" i="1" a="1"/>
  <c r="F538" i="1" s="1"/>
  <c r="H537" i="1" l="1"/>
  <c r="I537" i="1" a="1"/>
  <c r="I537" i="1" s="1"/>
  <c r="G538" i="1" a="1"/>
  <c r="G538" i="1" s="1"/>
  <c r="E538" i="1" l="1" a="1"/>
  <c r="E538" i="1" s="1"/>
  <c r="F539" i="1" a="1"/>
  <c r="F539" i="1" s="1"/>
  <c r="H538" i="1" l="1"/>
  <c r="I538" i="1" a="1"/>
  <c r="I538" i="1" s="1"/>
  <c r="G539" i="1" a="1"/>
  <c r="G539" i="1" s="1"/>
  <c r="F540" i="1" s="1" a="1"/>
  <c r="F540" i="1" s="1"/>
  <c r="E539" i="1" l="1" a="1"/>
  <c r="E539" i="1" s="1"/>
  <c r="G540" i="1" a="1"/>
  <c r="G540" i="1" s="1"/>
  <c r="F541" i="1" s="1" a="1"/>
  <c r="F541" i="1" s="1"/>
  <c r="H539" i="1" l="1"/>
  <c r="I539" i="1" a="1"/>
  <c r="I539" i="1" s="1"/>
  <c r="O46" i="1" s="1"/>
  <c r="E540" i="1" a="1"/>
  <c r="E540" i="1" s="1"/>
  <c r="G541" i="1" a="1"/>
  <c r="G541" i="1" s="1"/>
  <c r="F542" i="1" s="1" a="1"/>
  <c r="F542" i="1" s="1"/>
  <c r="H540" i="1" l="1"/>
  <c r="P46" i="1" s="1"/>
  <c r="Q46" i="1" s="1"/>
  <c r="I540" i="1" a="1"/>
  <c r="I540" i="1" s="1"/>
  <c r="E541" i="1" a="1"/>
  <c r="E541" i="1" s="1"/>
  <c r="G542" i="1" a="1"/>
  <c r="G542" i="1" s="1"/>
  <c r="F543" i="1" s="1" a="1"/>
  <c r="F543" i="1" s="1"/>
  <c r="H541" i="1" l="1"/>
  <c r="I541" i="1" a="1"/>
  <c r="I541" i="1" s="1"/>
  <c r="E542" i="1" a="1"/>
  <c r="E542" i="1" s="1"/>
  <c r="G543" i="1" a="1"/>
  <c r="G543" i="1" s="1"/>
  <c r="F544" i="1" s="1" a="1"/>
  <c r="F544" i="1" s="1"/>
  <c r="H542" i="1" l="1"/>
  <c r="I542" i="1" a="1"/>
  <c r="I542" i="1" s="1"/>
  <c r="E543" i="1" a="1"/>
  <c r="E543" i="1" s="1"/>
  <c r="G544" i="1" a="1"/>
  <c r="G544" i="1" s="1"/>
  <c r="E544" i="1" s="1" a="1"/>
  <c r="E544" i="1" s="1"/>
  <c r="I544" i="1" s="1" a="1"/>
  <c r="I544" i="1" s="1"/>
  <c r="H543" i="1" l="1"/>
  <c r="H544" i="1" s="1"/>
  <c r="I543" i="1" a="1"/>
  <c r="I543" i="1" s="1"/>
  <c r="F545" i="1" a="1"/>
  <c r="F545" i="1" s="1"/>
  <c r="G545" i="1" l="1" a="1"/>
  <c r="G545" i="1" s="1"/>
  <c r="F546" i="1" s="1" a="1"/>
  <c r="F546" i="1" s="1"/>
  <c r="E545" i="1" l="1" a="1"/>
  <c r="E545" i="1" s="1"/>
  <c r="G546" i="1" a="1"/>
  <c r="G546" i="1" s="1"/>
  <c r="F547" i="1" s="1" a="1"/>
  <c r="F547" i="1" s="1"/>
  <c r="H545" i="1" l="1"/>
  <c r="I545" i="1" a="1"/>
  <c r="I545" i="1" s="1"/>
  <c r="E546" i="1" a="1"/>
  <c r="E546" i="1" s="1"/>
  <c r="G547" i="1" a="1"/>
  <c r="G547" i="1" s="1"/>
  <c r="F548" i="1" s="1" a="1"/>
  <c r="F548" i="1" s="1"/>
  <c r="H546" i="1" l="1"/>
  <c r="I546" i="1" a="1"/>
  <c r="I546" i="1" s="1"/>
  <c r="E547" i="1" a="1"/>
  <c r="E547" i="1" s="1"/>
  <c r="G548" i="1" a="1"/>
  <c r="G548" i="1" s="1"/>
  <c r="E548" i="1" s="1" a="1"/>
  <c r="E548" i="1" s="1"/>
  <c r="I548" i="1" s="1" a="1"/>
  <c r="I548" i="1" s="1"/>
  <c r="H547" i="1" l="1"/>
  <c r="H548" i="1" s="1"/>
  <c r="I547" i="1" a="1"/>
  <c r="I547" i="1" s="1"/>
  <c r="F549" i="1" a="1"/>
  <c r="F549" i="1" s="1"/>
  <c r="G549" i="1" l="1" a="1"/>
  <c r="G549" i="1" s="1"/>
  <c r="E549" i="1" l="1" a="1"/>
  <c r="E549" i="1" s="1"/>
  <c r="F550" i="1" a="1"/>
  <c r="F550" i="1" s="1"/>
  <c r="H549" i="1" l="1"/>
  <c r="I549" i="1" a="1"/>
  <c r="I549" i="1" s="1"/>
  <c r="G550" i="1" a="1"/>
  <c r="G550" i="1" s="1"/>
  <c r="E550" i="1" l="1" a="1"/>
  <c r="E550" i="1" s="1"/>
  <c r="F551" i="1" a="1"/>
  <c r="F551" i="1" s="1"/>
  <c r="H550" i="1" l="1"/>
  <c r="I550" i="1" a="1"/>
  <c r="I550" i="1" s="1"/>
  <c r="G551" i="1" a="1"/>
  <c r="G551" i="1" s="1"/>
  <c r="F552" i="1" s="1" a="1"/>
  <c r="F552" i="1" s="1"/>
  <c r="E551" i="1" l="1" a="1"/>
  <c r="E551" i="1" s="1"/>
  <c r="G552" i="1" a="1"/>
  <c r="G552" i="1" s="1"/>
  <c r="F553" i="1" s="1" a="1"/>
  <c r="F553" i="1" s="1"/>
  <c r="H551" i="1" l="1"/>
  <c r="I551" i="1" a="1"/>
  <c r="I551" i="1" s="1"/>
  <c r="O47" i="1" s="1"/>
  <c r="E552" i="1" a="1"/>
  <c r="E552" i="1" s="1"/>
  <c r="G553" i="1" a="1"/>
  <c r="G553" i="1" s="1"/>
  <c r="F554" i="1" s="1" a="1"/>
  <c r="F554" i="1" s="1"/>
  <c r="H552" i="1" l="1"/>
  <c r="P47" i="1" s="1"/>
  <c r="Q47" i="1" s="1"/>
  <c r="I552" i="1" a="1"/>
  <c r="I552" i="1" s="1"/>
  <c r="E553" i="1" a="1"/>
  <c r="E553" i="1" s="1"/>
  <c r="G554" i="1" a="1"/>
  <c r="G554" i="1" s="1"/>
  <c r="F555" i="1" s="1" a="1"/>
  <c r="F555" i="1" s="1"/>
  <c r="H553" i="1" l="1"/>
  <c r="I553" i="1" a="1"/>
  <c r="I553" i="1" s="1"/>
  <c r="E554" i="1" a="1"/>
  <c r="E554" i="1" s="1"/>
  <c r="G555" i="1" a="1"/>
  <c r="G555" i="1" s="1"/>
  <c r="F556" i="1" s="1" a="1"/>
  <c r="F556" i="1" s="1"/>
  <c r="H554" i="1" l="1"/>
  <c r="I554" i="1" a="1"/>
  <c r="I554" i="1" s="1"/>
  <c r="E555" i="1" a="1"/>
  <c r="E555" i="1" s="1"/>
  <c r="G556" i="1" a="1"/>
  <c r="G556" i="1" s="1"/>
  <c r="E556" i="1" s="1" a="1"/>
  <c r="E556" i="1" s="1"/>
  <c r="I556" i="1" s="1" a="1"/>
  <c r="I556" i="1" s="1"/>
  <c r="H555" i="1" l="1"/>
  <c r="H556" i="1" s="1"/>
  <c r="I555" i="1" a="1"/>
  <c r="I555" i="1" s="1"/>
  <c r="F557" i="1" a="1"/>
  <c r="F557" i="1" s="1"/>
  <c r="G557" i="1" l="1" a="1"/>
  <c r="G557" i="1" s="1"/>
  <c r="F558" i="1" s="1" a="1"/>
  <c r="F558" i="1" s="1"/>
  <c r="E557" i="1" l="1" a="1"/>
  <c r="E557" i="1" s="1"/>
  <c r="G558" i="1" a="1"/>
  <c r="G558" i="1" s="1"/>
  <c r="F559" i="1" s="1" a="1"/>
  <c r="F559" i="1" s="1"/>
  <c r="H557" i="1" l="1"/>
  <c r="I557" i="1" a="1"/>
  <c r="I557" i="1" s="1"/>
  <c r="E558" i="1" a="1"/>
  <c r="E558" i="1" s="1"/>
  <c r="G559" i="1" a="1"/>
  <c r="G559" i="1" s="1"/>
  <c r="F560" i="1" s="1" a="1"/>
  <c r="F560" i="1" s="1"/>
  <c r="H558" i="1" l="1"/>
  <c r="I558" i="1" a="1"/>
  <c r="I558" i="1" s="1"/>
  <c r="E559" i="1" a="1"/>
  <c r="E559" i="1" s="1"/>
  <c r="G560" i="1" a="1"/>
  <c r="G560" i="1" s="1"/>
  <c r="F561" i="1" s="1" a="1"/>
  <c r="F561" i="1" s="1"/>
  <c r="H559" i="1" l="1"/>
  <c r="I559" i="1" a="1"/>
  <c r="I559" i="1" s="1"/>
  <c r="E560" i="1" a="1"/>
  <c r="E560" i="1" s="1"/>
  <c r="G561" i="1" a="1"/>
  <c r="G561" i="1" s="1"/>
  <c r="E561" i="1" s="1" a="1"/>
  <c r="E561" i="1" s="1"/>
  <c r="I561" i="1" s="1" a="1"/>
  <c r="I561" i="1" s="1"/>
  <c r="H560" i="1" l="1"/>
  <c r="H561" i="1" s="1"/>
  <c r="I560" i="1" a="1"/>
  <c r="I560" i="1" s="1"/>
  <c r="F562" i="1" a="1"/>
  <c r="F562" i="1" s="1"/>
  <c r="G562" i="1" l="1" a="1"/>
  <c r="G562" i="1" s="1"/>
  <c r="E562" i="1" l="1" a="1"/>
  <c r="E562" i="1" s="1"/>
  <c r="F563" i="1" a="1"/>
  <c r="F563" i="1" s="1"/>
  <c r="H562" i="1" l="1"/>
  <c r="I562" i="1" a="1"/>
  <c r="I562" i="1" s="1"/>
  <c r="G563" i="1" a="1"/>
  <c r="G563" i="1" s="1"/>
  <c r="E563" i="1" l="1" a="1"/>
  <c r="E563" i="1" s="1"/>
  <c r="F564" i="1" a="1"/>
  <c r="F564" i="1" s="1"/>
  <c r="H563" i="1" l="1"/>
  <c r="I563" i="1" a="1"/>
  <c r="I563" i="1" s="1"/>
  <c r="O48" i="1" s="1"/>
  <c r="G564" i="1" a="1"/>
  <c r="G564" i="1" s="1"/>
  <c r="F565" i="1" s="1" a="1"/>
  <c r="F565" i="1" s="1"/>
  <c r="E564" i="1" l="1" a="1"/>
  <c r="E564" i="1" s="1"/>
  <c r="G565" i="1" a="1"/>
  <c r="G565" i="1" s="1"/>
  <c r="F566" i="1" s="1" a="1"/>
  <c r="F566" i="1" s="1"/>
  <c r="H564" i="1" l="1"/>
  <c r="P48" i="1" s="1"/>
  <c r="Q48" i="1" s="1"/>
  <c r="I564" i="1" a="1"/>
  <c r="I564" i="1" s="1"/>
  <c r="E565" i="1" a="1"/>
  <c r="E565" i="1" s="1"/>
  <c r="G566" i="1" a="1"/>
  <c r="G566" i="1" s="1"/>
  <c r="F567" i="1" s="1" a="1"/>
  <c r="F567" i="1" s="1"/>
  <c r="H565" i="1" l="1"/>
  <c r="I565" i="1" a="1"/>
  <c r="I565" i="1" s="1"/>
  <c r="E566" i="1" a="1"/>
  <c r="E566" i="1" s="1"/>
  <c r="G567" i="1" a="1"/>
  <c r="G567" i="1" s="1"/>
  <c r="F568" i="1" s="1" a="1"/>
  <c r="F568" i="1" s="1"/>
  <c r="H566" i="1" l="1"/>
  <c r="I566" i="1" a="1"/>
  <c r="I566" i="1" s="1"/>
  <c r="E567" i="1" a="1"/>
  <c r="E567" i="1" s="1"/>
  <c r="G568" i="1" a="1"/>
  <c r="G568" i="1" s="1"/>
  <c r="F569" i="1" s="1" a="1"/>
  <c r="F569" i="1" s="1"/>
  <c r="H567" i="1" l="1"/>
  <c r="I567" i="1" a="1"/>
  <c r="I567" i="1" s="1"/>
  <c r="E568" i="1" a="1"/>
  <c r="E568" i="1" s="1"/>
  <c r="G569" i="1" a="1"/>
  <c r="G569" i="1" s="1"/>
  <c r="F570" i="1" s="1" a="1"/>
  <c r="F570" i="1" s="1"/>
  <c r="H568" i="1" l="1"/>
  <c r="I568" i="1" a="1"/>
  <c r="I568" i="1" s="1"/>
  <c r="E569" i="1" a="1"/>
  <c r="E569" i="1" s="1"/>
  <c r="G570" i="1" a="1"/>
  <c r="G570" i="1" s="1"/>
  <c r="F571" i="1" s="1" a="1"/>
  <c r="F571" i="1" s="1"/>
  <c r="H569" i="1" l="1"/>
  <c r="I569" i="1" a="1"/>
  <c r="I569" i="1" s="1"/>
  <c r="E570" i="1" a="1"/>
  <c r="E570" i="1" s="1"/>
  <c r="G571" i="1" a="1"/>
  <c r="G571" i="1" s="1"/>
  <c r="F572" i="1" s="1" a="1"/>
  <c r="F572" i="1" s="1"/>
  <c r="H570" i="1" l="1"/>
  <c r="I570" i="1" a="1"/>
  <c r="I570" i="1" s="1"/>
  <c r="E571" i="1" a="1"/>
  <c r="E571" i="1" s="1"/>
  <c r="G572" i="1" a="1"/>
  <c r="G572" i="1" s="1"/>
  <c r="F573" i="1" s="1" a="1"/>
  <c r="F573" i="1" s="1"/>
  <c r="H571" i="1" l="1"/>
  <c r="I571" i="1" a="1"/>
  <c r="I571" i="1" s="1"/>
  <c r="E572" i="1" a="1"/>
  <c r="E572" i="1" s="1"/>
  <c r="G573" i="1" a="1"/>
  <c r="G573" i="1" s="1"/>
  <c r="F574" i="1" s="1" a="1"/>
  <c r="F574" i="1" s="1"/>
  <c r="H572" i="1" l="1"/>
  <c r="I572" i="1" a="1"/>
  <c r="I572" i="1" s="1"/>
  <c r="E573" i="1" a="1"/>
  <c r="E573" i="1" s="1"/>
  <c r="G574" i="1" a="1"/>
  <c r="G574" i="1" s="1"/>
  <c r="F575" i="1" s="1" a="1"/>
  <c r="F575" i="1" s="1"/>
  <c r="H573" i="1" l="1"/>
  <c r="I573" i="1" a="1"/>
  <c r="I573" i="1" s="1"/>
  <c r="E574" i="1" a="1"/>
  <c r="E574" i="1" s="1"/>
  <c r="G575" i="1" a="1"/>
  <c r="G575" i="1" s="1"/>
  <c r="F576" i="1" s="1" a="1"/>
  <c r="F576" i="1" s="1"/>
  <c r="H574" i="1" l="1"/>
  <c r="I574" i="1" a="1"/>
  <c r="I574" i="1" s="1"/>
  <c r="E575" i="1" a="1"/>
  <c r="E575" i="1" s="1"/>
  <c r="G576" i="1" a="1"/>
  <c r="G576" i="1" s="1"/>
  <c r="F577" i="1" s="1" a="1"/>
  <c r="F577" i="1" s="1"/>
  <c r="H575" i="1" l="1"/>
  <c r="I575" i="1" a="1"/>
  <c r="I575" i="1" s="1"/>
  <c r="O49" i="1" s="1"/>
  <c r="E576" i="1" a="1"/>
  <c r="E576" i="1" s="1"/>
  <c r="G577" i="1" a="1"/>
  <c r="G577" i="1" s="1"/>
  <c r="F578" i="1" s="1" a="1"/>
  <c r="F578" i="1" s="1"/>
  <c r="H576" i="1" l="1"/>
  <c r="P49" i="1" s="1"/>
  <c r="Q49" i="1" s="1"/>
  <c r="I576" i="1" a="1"/>
  <c r="I576" i="1" s="1"/>
  <c r="E577" i="1" a="1"/>
  <c r="E577" i="1" s="1"/>
  <c r="G578" i="1" a="1"/>
  <c r="G578" i="1" s="1"/>
  <c r="F579" i="1" s="1" a="1"/>
  <c r="F579" i="1" s="1"/>
  <c r="H577" i="1" l="1"/>
  <c r="I577" i="1" a="1"/>
  <c r="I577" i="1" s="1"/>
  <c r="E578" i="1" a="1"/>
  <c r="E578" i="1" s="1"/>
  <c r="G579" i="1" a="1"/>
  <c r="G579" i="1" s="1"/>
  <c r="E579" i="1" s="1" a="1"/>
  <c r="E579" i="1" s="1"/>
  <c r="I579" i="1" s="1" a="1"/>
  <c r="I579" i="1" s="1"/>
  <c r="H578" i="1" l="1"/>
  <c r="H579" i="1" s="1"/>
  <c r="I578" i="1" a="1"/>
  <c r="I578" i="1" s="1"/>
  <c r="F580" i="1" a="1"/>
  <c r="F580" i="1" s="1"/>
  <c r="G580" i="1" l="1" a="1"/>
  <c r="G580" i="1" s="1"/>
  <c r="E580" i="1" l="1" a="1"/>
  <c r="E580" i="1" s="1"/>
  <c r="F581" i="1" a="1"/>
  <c r="F581" i="1" s="1"/>
  <c r="H580" i="1" l="1"/>
  <c r="I580" i="1" a="1"/>
  <c r="I580" i="1" s="1"/>
  <c r="G581" i="1" a="1"/>
  <c r="G581" i="1" s="1"/>
  <c r="E581" i="1" l="1" a="1"/>
  <c r="E581" i="1" s="1"/>
  <c r="F582" i="1" a="1"/>
  <c r="F582" i="1" s="1"/>
  <c r="H581" i="1" l="1"/>
  <c r="I581" i="1" a="1"/>
  <c r="I581" i="1" s="1"/>
  <c r="G582" i="1" a="1"/>
  <c r="G582" i="1" s="1"/>
  <c r="F583" i="1" s="1" a="1"/>
  <c r="F583" i="1" s="1"/>
  <c r="E582" i="1" l="1" a="1"/>
  <c r="E582" i="1" s="1"/>
  <c r="G583" i="1" a="1"/>
  <c r="G583" i="1" s="1"/>
  <c r="F584" i="1" s="1" a="1"/>
  <c r="F584" i="1" s="1"/>
  <c r="H582" i="1" l="1"/>
  <c r="I582" i="1" a="1"/>
  <c r="I582" i="1" s="1"/>
  <c r="E583" i="1" a="1"/>
  <c r="E583" i="1" s="1"/>
  <c r="G584" i="1" a="1"/>
  <c r="G584" i="1" s="1"/>
  <c r="F585" i="1" s="1" a="1"/>
  <c r="F585" i="1" s="1"/>
  <c r="H583" i="1" l="1"/>
  <c r="I583" i="1" a="1"/>
  <c r="I583" i="1" s="1"/>
  <c r="E584" i="1" a="1"/>
  <c r="E584" i="1" s="1"/>
  <c r="G585" i="1" a="1"/>
  <c r="G585" i="1" s="1"/>
  <c r="F586" i="1" s="1" a="1"/>
  <c r="F586" i="1" s="1"/>
  <c r="H584" i="1" l="1"/>
  <c r="I584" i="1" a="1"/>
  <c r="I584" i="1" s="1"/>
  <c r="E585" i="1" a="1"/>
  <c r="E585" i="1" s="1"/>
  <c r="G586" i="1" a="1"/>
  <c r="G586" i="1" s="1"/>
  <c r="F587" i="1" s="1" a="1"/>
  <c r="F587" i="1" s="1"/>
  <c r="H585" i="1" l="1"/>
  <c r="I585" i="1" a="1"/>
  <c r="I585" i="1" s="1"/>
  <c r="E586" i="1" a="1"/>
  <c r="E586" i="1" s="1"/>
  <c r="G587" i="1" a="1"/>
  <c r="G587" i="1" s="1"/>
  <c r="E587" i="1" s="1" a="1"/>
  <c r="E587" i="1" s="1"/>
  <c r="I587" i="1" s="1" a="1"/>
  <c r="I587" i="1" s="1"/>
  <c r="O50" i="1" s="1"/>
  <c r="H586" i="1" l="1"/>
  <c r="H587" i="1" s="1"/>
  <c r="I586" i="1" a="1"/>
  <c r="I586" i="1" s="1"/>
  <c r="F588" i="1" a="1"/>
  <c r="F588" i="1" s="1"/>
  <c r="G588" i="1" l="1" a="1"/>
  <c r="G588" i="1" s="1"/>
  <c r="F589" i="1" s="1" a="1"/>
  <c r="F589" i="1" s="1"/>
  <c r="E588" i="1" l="1" a="1"/>
  <c r="E588" i="1" s="1"/>
  <c r="G589" i="1" a="1"/>
  <c r="G589" i="1" s="1"/>
  <c r="F590" i="1" s="1" a="1"/>
  <c r="F590" i="1" s="1"/>
  <c r="H588" i="1" l="1"/>
  <c r="P50" i="1" s="1"/>
  <c r="Q50" i="1" s="1"/>
  <c r="I588" i="1" a="1"/>
  <c r="I588" i="1" s="1"/>
  <c r="E589" i="1" a="1"/>
  <c r="E589" i="1" s="1"/>
  <c r="G590" i="1" a="1"/>
  <c r="G590" i="1" s="1"/>
  <c r="F591" i="1" s="1" a="1"/>
  <c r="F591" i="1" s="1"/>
  <c r="H589" i="1" l="1"/>
  <c r="I589" i="1" a="1"/>
  <c r="I589" i="1" s="1"/>
  <c r="E590" i="1" a="1"/>
  <c r="E590" i="1" s="1"/>
  <c r="G591" i="1" a="1"/>
  <c r="G591" i="1" s="1"/>
  <c r="E591" i="1" s="1" a="1"/>
  <c r="E591" i="1" s="1"/>
  <c r="I591" i="1" s="1" a="1"/>
  <c r="I591" i="1" s="1"/>
  <c r="H590" i="1" l="1"/>
  <c r="H591" i="1" s="1"/>
  <c r="I590" i="1" a="1"/>
  <c r="I590" i="1" s="1"/>
  <c r="F592" i="1" a="1"/>
  <c r="F592" i="1" s="1"/>
  <c r="G592" i="1" l="1" a="1"/>
  <c r="G592" i="1" s="1"/>
  <c r="E592" i="1" l="1" a="1"/>
  <c r="E592" i="1" s="1"/>
  <c r="F593" i="1" a="1"/>
  <c r="F593" i="1" s="1"/>
  <c r="H592" i="1" l="1"/>
  <c r="I592" i="1" a="1"/>
  <c r="I592" i="1" s="1"/>
  <c r="G593" i="1" a="1"/>
  <c r="G593" i="1" s="1"/>
  <c r="E593" i="1" l="1" a="1"/>
  <c r="E593" i="1" s="1"/>
  <c r="F594" i="1" a="1"/>
  <c r="F594" i="1" s="1"/>
  <c r="H593" i="1" l="1"/>
  <c r="I593" i="1" a="1"/>
  <c r="I593" i="1" s="1"/>
  <c r="G594" i="1" a="1"/>
  <c r="G594" i="1" s="1"/>
  <c r="F595" i="1" s="1" a="1"/>
  <c r="F595" i="1" s="1"/>
  <c r="E594" i="1" l="1" a="1"/>
  <c r="E594" i="1" s="1"/>
  <c r="G595" i="1" a="1"/>
  <c r="G595" i="1" s="1"/>
  <c r="E595" i="1" s="1" a="1"/>
  <c r="E595" i="1" s="1"/>
  <c r="I595" i="1" s="1" a="1"/>
  <c r="I595" i="1" s="1"/>
  <c r="H594" i="1" l="1"/>
  <c r="H595" i="1" s="1"/>
  <c r="I594" i="1" a="1"/>
  <c r="I594" i="1" s="1"/>
  <c r="F596" i="1" a="1"/>
  <c r="F596" i="1" s="1"/>
  <c r="G596" i="1" l="1" a="1"/>
  <c r="G596" i="1" s="1"/>
  <c r="E596" i="1" l="1" a="1"/>
  <c r="E596" i="1" s="1"/>
  <c r="F597" i="1" a="1"/>
  <c r="F597" i="1" s="1"/>
  <c r="H596" i="1" l="1"/>
  <c r="I596" i="1" a="1"/>
  <c r="I596" i="1" s="1"/>
  <c r="G597" i="1" a="1"/>
  <c r="G597" i="1" s="1"/>
  <c r="E597" i="1" l="1" a="1"/>
  <c r="E597" i="1" s="1"/>
  <c r="F598" i="1" a="1"/>
  <c r="F598" i="1" s="1"/>
  <c r="H597" i="1" l="1"/>
  <c r="I597" i="1" a="1"/>
  <c r="I597" i="1" s="1"/>
  <c r="G598" i="1" a="1"/>
  <c r="G598" i="1" s="1"/>
  <c r="E598" i="1" l="1" a="1"/>
  <c r="E598" i="1" s="1"/>
  <c r="F599" i="1" a="1"/>
  <c r="F599" i="1" s="1"/>
  <c r="H598" i="1" l="1"/>
  <c r="I598" i="1" a="1"/>
  <c r="I598" i="1" s="1"/>
  <c r="G599" i="1" a="1"/>
  <c r="G599" i="1" s="1"/>
  <c r="E599" i="1" l="1" a="1"/>
  <c r="E599" i="1" s="1"/>
  <c r="F600" i="1" a="1"/>
  <c r="F600" i="1" s="1"/>
  <c r="H599" i="1" l="1"/>
  <c r="I599" i="1" a="1"/>
  <c r="I599" i="1" s="1"/>
  <c r="O51" i="1" s="1"/>
  <c r="G600" i="1" a="1"/>
  <c r="G600" i="1" s="1"/>
  <c r="F601" i="1" s="1" a="1"/>
  <c r="F601" i="1" s="1"/>
  <c r="E600" i="1" l="1" a="1"/>
  <c r="E600" i="1" s="1"/>
  <c r="G601" i="1" a="1"/>
  <c r="G601" i="1" s="1"/>
  <c r="F602" i="1" s="1" a="1"/>
  <c r="F602" i="1" s="1"/>
  <c r="H600" i="1" l="1"/>
  <c r="P51" i="1" s="1"/>
  <c r="Q51" i="1" s="1"/>
  <c r="I600" i="1" a="1"/>
  <c r="I600" i="1" s="1"/>
  <c r="E601" i="1" a="1"/>
  <c r="E601" i="1" s="1"/>
  <c r="G602" i="1" a="1"/>
  <c r="G602" i="1" s="1"/>
  <c r="F603" i="1" s="1" a="1"/>
  <c r="F603" i="1" s="1"/>
  <c r="H601" i="1" l="1"/>
  <c r="I601" i="1" a="1"/>
  <c r="I601" i="1" s="1"/>
  <c r="E602" i="1" a="1"/>
  <c r="E602" i="1" s="1"/>
  <c r="G603" i="1" a="1"/>
  <c r="G603" i="1" s="1"/>
  <c r="F604" i="1" s="1" a="1"/>
  <c r="F604" i="1" s="1"/>
  <c r="H602" i="1" l="1"/>
  <c r="I602" i="1" a="1"/>
  <c r="I602" i="1" s="1"/>
  <c r="E603" i="1" a="1"/>
  <c r="E603" i="1" s="1"/>
  <c r="G604" i="1" a="1"/>
  <c r="G604" i="1" s="1"/>
  <c r="F605" i="1" s="1" a="1"/>
  <c r="F605" i="1" s="1"/>
  <c r="H603" i="1" l="1"/>
  <c r="I603" i="1" a="1"/>
  <c r="I603" i="1" s="1"/>
  <c r="E604" i="1" a="1"/>
  <c r="E604" i="1" s="1"/>
  <c r="G605" i="1" a="1"/>
  <c r="G605" i="1" s="1"/>
  <c r="F606" i="1" s="1" a="1"/>
  <c r="F606" i="1" s="1"/>
  <c r="H604" i="1" l="1"/>
  <c r="I604" i="1" a="1"/>
  <c r="I604" i="1" s="1"/>
  <c r="E605" i="1" a="1"/>
  <c r="E605" i="1" s="1"/>
  <c r="G606" i="1" a="1"/>
  <c r="G606" i="1" s="1"/>
  <c r="F607" i="1" s="1" a="1"/>
  <c r="F607" i="1" s="1"/>
  <c r="H605" i="1" l="1"/>
  <c r="I605" i="1" a="1"/>
  <c r="I605" i="1" s="1"/>
  <c r="E606" i="1" a="1"/>
  <c r="E606" i="1" s="1"/>
  <c r="G607" i="1" a="1"/>
  <c r="G607" i="1" s="1"/>
  <c r="F608" i="1" s="1" a="1"/>
  <c r="F608" i="1" s="1"/>
  <c r="H606" i="1" l="1"/>
  <c r="I606" i="1" a="1"/>
  <c r="I606" i="1" s="1"/>
  <c r="E607" i="1" a="1"/>
  <c r="E607" i="1" s="1"/>
  <c r="G608" i="1" a="1"/>
  <c r="G608" i="1" s="1"/>
  <c r="F609" i="1" s="1" a="1"/>
  <c r="F609" i="1" s="1"/>
  <c r="H607" i="1" l="1"/>
  <c r="I607" i="1" a="1"/>
  <c r="I607" i="1" s="1"/>
  <c r="E608" i="1" a="1"/>
  <c r="E608" i="1" s="1"/>
  <c r="G609" i="1" a="1"/>
  <c r="G609" i="1" s="1"/>
  <c r="F610" i="1" s="1" a="1"/>
  <c r="F610" i="1" s="1"/>
  <c r="H608" i="1" l="1"/>
  <c r="I608" i="1" a="1"/>
  <c r="I608" i="1" s="1"/>
  <c r="E609" i="1" a="1"/>
  <c r="E609" i="1" s="1"/>
  <c r="G610" i="1" a="1"/>
  <c r="G610" i="1" s="1"/>
  <c r="F611" i="1" s="1" a="1"/>
  <c r="F611" i="1" s="1"/>
  <c r="H609" i="1" l="1"/>
  <c r="I609" i="1" a="1"/>
  <c r="I609" i="1" s="1"/>
  <c r="E610" i="1" a="1"/>
  <c r="E610" i="1" s="1"/>
  <c r="G611" i="1" a="1"/>
  <c r="G611" i="1" s="1"/>
  <c r="F612" i="1" s="1" a="1"/>
  <c r="F612" i="1" s="1"/>
  <c r="H610" i="1" l="1"/>
  <c r="I610" i="1" a="1"/>
  <c r="I610" i="1" s="1"/>
  <c r="E611" i="1" a="1"/>
  <c r="E611" i="1" s="1"/>
  <c r="G612" i="1" a="1"/>
  <c r="G612" i="1" s="1"/>
  <c r="F613" i="1" s="1" a="1"/>
  <c r="F613" i="1" s="1"/>
  <c r="H611" i="1" l="1"/>
  <c r="I611" i="1" a="1"/>
  <c r="I611" i="1" s="1"/>
  <c r="O52" i="1" s="1"/>
  <c r="P52" i="1" s="1"/>
  <c r="E612" i="1" a="1"/>
  <c r="E612" i="1" s="1"/>
  <c r="G613" i="1" a="1"/>
  <c r="G613" i="1" s="1"/>
  <c r="F614" i="1" s="1" a="1"/>
  <c r="F614" i="1" s="1"/>
  <c r="Q52" i="1" l="1"/>
  <c r="H612" i="1"/>
  <c r="I612" i="1" a="1"/>
  <c r="I612" i="1" s="1"/>
  <c r="E613" i="1" a="1"/>
  <c r="E613" i="1" s="1"/>
  <c r="G614" i="1" a="1"/>
  <c r="G614" i="1" s="1"/>
  <c r="F615" i="1" s="1" a="1"/>
  <c r="F615" i="1" s="1"/>
  <c r="H613" i="1" l="1"/>
  <c r="I613" i="1" a="1"/>
  <c r="I613" i="1" s="1"/>
  <c r="E614" i="1" a="1"/>
  <c r="E614" i="1" s="1"/>
  <c r="G615" i="1" a="1"/>
  <c r="G615" i="1" s="1"/>
  <c r="E615" i="1" s="1" a="1"/>
  <c r="E615" i="1" s="1"/>
  <c r="I615" i="1" s="1" a="1"/>
  <c r="I615" i="1" s="1"/>
  <c r="H614" i="1" l="1"/>
  <c r="H615" i="1" s="1"/>
  <c r="I614" i="1" a="1"/>
  <c r="I614" i="1" s="1"/>
  <c r="F616" i="1" a="1"/>
  <c r="F616" i="1" s="1"/>
  <c r="G616" i="1" l="1" a="1"/>
  <c r="G616" i="1" s="1"/>
  <c r="E616" i="1" l="1" a="1"/>
  <c r="E616" i="1" s="1"/>
  <c r="F617" i="1" a="1"/>
  <c r="F617" i="1" s="1"/>
  <c r="H616" i="1" l="1"/>
  <c r="I616" i="1" a="1"/>
  <c r="I616" i="1" s="1"/>
  <c r="G617" i="1" a="1"/>
  <c r="G617" i="1" s="1"/>
  <c r="E617" i="1" l="1" a="1"/>
  <c r="E617" i="1" s="1"/>
  <c r="F618" i="1" a="1"/>
  <c r="F618" i="1" s="1"/>
  <c r="H617" i="1" l="1"/>
  <c r="I617" i="1" a="1"/>
  <c r="I617" i="1" s="1"/>
  <c r="G618" i="1" a="1"/>
  <c r="G618" i="1" s="1"/>
  <c r="F619" i="1" s="1" a="1"/>
  <c r="F619" i="1" s="1"/>
  <c r="E618" i="1" l="1" a="1"/>
  <c r="E618" i="1" s="1"/>
  <c r="G619" i="1" a="1"/>
  <c r="G619" i="1" s="1"/>
  <c r="F620" i="1" s="1" a="1"/>
  <c r="F620" i="1" s="1"/>
  <c r="H618" i="1" l="1"/>
  <c r="I618" i="1" a="1"/>
  <c r="I618" i="1" s="1"/>
  <c r="E619" i="1" a="1"/>
  <c r="E619" i="1" s="1"/>
  <c r="G620" i="1" a="1"/>
  <c r="G620" i="1" s="1"/>
  <c r="F621" i="1" s="1" a="1"/>
  <c r="F621" i="1" s="1"/>
  <c r="H619" i="1" l="1"/>
  <c r="I619" i="1" a="1"/>
  <c r="I619" i="1" s="1"/>
  <c r="E620" i="1" a="1"/>
  <c r="E620" i="1" s="1"/>
  <c r="G621" i="1" a="1"/>
  <c r="G621" i="1" s="1"/>
  <c r="F622" i="1" s="1" a="1"/>
  <c r="F622" i="1" s="1"/>
  <c r="H620" i="1" l="1"/>
  <c r="I620" i="1" a="1"/>
  <c r="I620" i="1" s="1"/>
  <c r="E621" i="1" a="1"/>
  <c r="E621" i="1" s="1"/>
  <c r="G622" i="1" a="1"/>
  <c r="G622" i="1" s="1"/>
  <c r="F623" i="1" s="1" a="1"/>
  <c r="F623" i="1" s="1"/>
  <c r="H621" i="1" l="1"/>
  <c r="I621" i="1" a="1"/>
  <c r="I621" i="1" s="1"/>
  <c r="E622" i="1" a="1"/>
  <c r="E622" i="1" s="1"/>
  <c r="G623" i="1" a="1"/>
  <c r="G623" i="1" s="1"/>
  <c r="F624" i="1" s="1" a="1"/>
  <c r="F624" i="1" s="1"/>
  <c r="H622" i="1" l="1"/>
  <c r="I622" i="1" a="1"/>
  <c r="I622" i="1" s="1"/>
  <c r="E623" i="1" a="1"/>
  <c r="E623" i="1" s="1"/>
  <c r="G624" i="1" a="1"/>
  <c r="G624" i="1" s="1"/>
  <c r="F625" i="1" s="1" a="1"/>
  <c r="F625" i="1" s="1"/>
  <c r="H623" i="1" l="1"/>
  <c r="I623" i="1" a="1"/>
  <c r="I623" i="1" s="1"/>
  <c r="E624" i="1" a="1"/>
  <c r="E624" i="1" s="1"/>
  <c r="G625" i="1" a="1"/>
  <c r="G625" i="1" s="1"/>
  <c r="F626" i="1" s="1" a="1"/>
  <c r="F626" i="1" s="1"/>
  <c r="H624" i="1" l="1"/>
  <c r="I624" i="1" a="1"/>
  <c r="I624" i="1" s="1"/>
  <c r="E625" i="1" a="1"/>
  <c r="E625" i="1" s="1"/>
  <c r="G626" i="1" a="1"/>
  <c r="G626" i="1" s="1"/>
  <c r="F627" i="1" s="1" a="1"/>
  <c r="F627" i="1" s="1"/>
  <c r="H625" i="1" l="1"/>
  <c r="I625" i="1" a="1"/>
  <c r="I625" i="1" s="1"/>
  <c r="E626" i="1" a="1"/>
  <c r="E626" i="1" s="1"/>
  <c r="G627" i="1" a="1"/>
  <c r="G627" i="1" s="1"/>
  <c r="F628" i="1" s="1" a="1"/>
  <c r="F628" i="1" s="1"/>
  <c r="H626" i="1" l="1"/>
  <c r="I626" i="1" a="1"/>
  <c r="I626" i="1" s="1"/>
  <c r="E627" i="1" a="1"/>
  <c r="E627" i="1" s="1"/>
  <c r="G628" i="1" a="1"/>
  <c r="G628" i="1" s="1"/>
  <c r="F629" i="1" s="1" a="1"/>
  <c r="F629" i="1" s="1"/>
  <c r="H627" i="1" l="1"/>
  <c r="I627" i="1" a="1"/>
  <c r="I627" i="1" s="1"/>
  <c r="E628" i="1" a="1"/>
  <c r="E628" i="1" s="1"/>
  <c r="G629" i="1" a="1"/>
  <c r="G629" i="1" s="1"/>
  <c r="F630" i="1" s="1" a="1"/>
  <c r="F630" i="1" s="1"/>
  <c r="H628" i="1" l="1"/>
  <c r="I628" i="1" a="1"/>
  <c r="I628" i="1" s="1"/>
  <c r="E629" i="1" a="1"/>
  <c r="E629" i="1" s="1"/>
  <c r="G630" i="1" a="1"/>
  <c r="G630" i="1" s="1"/>
  <c r="F631" i="1" s="1" a="1"/>
  <c r="F631" i="1" s="1"/>
  <c r="H629" i="1" l="1"/>
  <c r="I629" i="1" a="1"/>
  <c r="I629" i="1" s="1"/>
  <c r="E630" i="1" a="1"/>
  <c r="E630" i="1" s="1"/>
  <c r="G631" i="1" a="1"/>
  <c r="G631" i="1" s="1"/>
  <c r="F632" i="1" s="1" a="1"/>
  <c r="F632" i="1" s="1"/>
  <c r="H630" i="1" l="1"/>
  <c r="I630" i="1" a="1"/>
  <c r="I630" i="1" s="1"/>
  <c r="E631" i="1" a="1"/>
  <c r="E631" i="1" s="1"/>
  <c r="G632" i="1" a="1"/>
  <c r="G632" i="1" s="1"/>
  <c r="F633" i="1" s="1" a="1"/>
  <c r="F633" i="1" s="1"/>
  <c r="H631" i="1" l="1"/>
  <c r="I631" i="1" a="1"/>
  <c r="I631" i="1" s="1"/>
  <c r="E632" i="1" a="1"/>
  <c r="E632" i="1" s="1"/>
  <c r="G633" i="1" a="1"/>
  <c r="G633" i="1" s="1"/>
  <c r="E633" i="1" s="1" a="1"/>
  <c r="E633" i="1" s="1"/>
  <c r="I633" i="1" s="1" a="1"/>
  <c r="I633" i="1" s="1"/>
  <c r="H632" i="1" l="1"/>
  <c r="H633" i="1" s="1"/>
  <c r="I632" i="1" a="1"/>
  <c r="I632" i="1" s="1"/>
  <c r="F634" i="1" a="1"/>
  <c r="F634" i="1" s="1"/>
  <c r="G634" i="1" l="1" a="1"/>
  <c r="G634" i="1" s="1"/>
  <c r="E634" i="1" l="1" a="1"/>
  <c r="E634" i="1" s="1"/>
  <c r="F635" i="1" a="1"/>
  <c r="F635" i="1" s="1"/>
  <c r="H634" i="1" l="1"/>
  <c r="I634" i="1" a="1"/>
  <c r="I634" i="1" s="1"/>
  <c r="G635" i="1" a="1"/>
  <c r="G635" i="1" s="1"/>
  <c r="E635" i="1" l="1" a="1"/>
  <c r="E635" i="1" s="1"/>
  <c r="F636" i="1" a="1"/>
  <c r="F636" i="1" s="1"/>
  <c r="H635" i="1" l="1"/>
  <c r="I635" i="1" a="1"/>
  <c r="I635" i="1" s="1"/>
  <c r="G636" i="1" a="1"/>
  <c r="G636" i="1" s="1"/>
  <c r="F637" i="1" s="1" a="1"/>
  <c r="F637" i="1" s="1"/>
  <c r="E636" i="1" l="1" a="1"/>
  <c r="E636" i="1" s="1"/>
  <c r="G637" i="1" a="1"/>
  <c r="G637" i="1" s="1"/>
  <c r="F638" i="1" s="1" a="1"/>
  <c r="F638" i="1" s="1"/>
  <c r="H636" i="1" l="1"/>
  <c r="I636" i="1" a="1"/>
  <c r="I636" i="1" s="1"/>
  <c r="E637" i="1" a="1"/>
  <c r="E637" i="1" s="1"/>
  <c r="G638" i="1" a="1"/>
  <c r="G638" i="1" s="1"/>
  <c r="F639" i="1" s="1" a="1"/>
  <c r="F639" i="1" s="1"/>
  <c r="H637" i="1" l="1"/>
  <c r="I637" i="1" a="1"/>
  <c r="I637" i="1" s="1"/>
  <c r="E638" i="1" a="1"/>
  <c r="E638" i="1" s="1"/>
  <c r="G639" i="1" a="1"/>
  <c r="G639" i="1" s="1"/>
  <c r="F640" i="1" s="1" a="1"/>
  <c r="F640" i="1" s="1"/>
  <c r="H638" i="1" l="1"/>
  <c r="I638" i="1" a="1"/>
  <c r="I638" i="1" s="1"/>
  <c r="E639" i="1" a="1"/>
  <c r="E639" i="1" s="1"/>
  <c r="G640" i="1" a="1"/>
  <c r="G640" i="1" s="1"/>
  <c r="E640" i="1" s="1" a="1"/>
  <c r="E640" i="1" s="1"/>
  <c r="I640" i="1" s="1" a="1"/>
  <c r="I640" i="1" s="1"/>
  <c r="H639" i="1" l="1"/>
  <c r="H640" i="1" s="1"/>
  <c r="I639" i="1" a="1"/>
  <c r="I639" i="1" s="1"/>
  <c r="F641" i="1" a="1"/>
  <c r="F641" i="1" s="1"/>
  <c r="G641" i="1" l="1" a="1"/>
  <c r="G641" i="1" s="1"/>
  <c r="E641" i="1" l="1" a="1"/>
  <c r="E641" i="1" s="1"/>
  <c r="F642" i="1" a="1"/>
  <c r="F642" i="1" s="1"/>
  <c r="H641" i="1" l="1"/>
  <c r="I641" i="1" a="1"/>
  <c r="I641" i="1" s="1"/>
  <c r="G642" i="1" a="1"/>
  <c r="G642" i="1" s="1"/>
  <c r="E642" i="1" l="1" a="1"/>
  <c r="E642" i="1" s="1"/>
  <c r="F643" i="1" a="1"/>
  <c r="F643" i="1" s="1"/>
  <c r="H642" i="1" l="1"/>
  <c r="I642" i="1" a="1"/>
  <c r="I642" i="1" s="1"/>
  <c r="G643" i="1" a="1"/>
  <c r="G643" i="1" s="1"/>
  <c r="F644" i="1" s="1" a="1"/>
  <c r="F644" i="1" s="1"/>
  <c r="E643" i="1" l="1" a="1"/>
  <c r="E643" i="1" s="1"/>
  <c r="G644" i="1" a="1"/>
  <c r="G644" i="1" s="1"/>
  <c r="F645" i="1" s="1" a="1"/>
  <c r="F645" i="1" s="1"/>
  <c r="H643" i="1" l="1"/>
  <c r="I643" i="1" a="1"/>
  <c r="I643" i="1" s="1"/>
  <c r="E644" i="1" a="1"/>
  <c r="E644" i="1" s="1"/>
  <c r="G645" i="1" a="1"/>
  <c r="G645" i="1" s="1"/>
  <c r="F646" i="1" s="1" a="1"/>
  <c r="F646" i="1" s="1"/>
  <c r="H644" i="1" l="1"/>
  <c r="I644" i="1" a="1"/>
  <c r="I644" i="1" s="1"/>
  <c r="E645" i="1" a="1"/>
  <c r="E645" i="1" s="1"/>
  <c r="G646" i="1" a="1"/>
  <c r="G646" i="1" s="1"/>
  <c r="F647" i="1" s="1" a="1"/>
  <c r="F647" i="1" s="1"/>
  <c r="H645" i="1" l="1"/>
  <c r="I645" i="1" a="1"/>
  <c r="I645" i="1" s="1"/>
  <c r="E646" i="1" a="1"/>
  <c r="E646" i="1" s="1"/>
  <c r="G647" i="1" a="1"/>
  <c r="G647" i="1" s="1"/>
  <c r="F648" i="1" s="1" a="1"/>
  <c r="F648" i="1" s="1"/>
  <c r="H646" i="1" l="1"/>
  <c r="I646" i="1" a="1"/>
  <c r="I646" i="1" s="1"/>
  <c r="E647" i="1" a="1"/>
  <c r="E647" i="1" s="1"/>
  <c r="G648" i="1" a="1"/>
  <c r="G648" i="1" s="1"/>
  <c r="F649" i="1" s="1" a="1"/>
  <c r="F649" i="1" s="1"/>
  <c r="H647" i="1" l="1"/>
  <c r="I647" i="1" a="1"/>
  <c r="I647" i="1" s="1"/>
  <c r="E648" i="1" a="1"/>
  <c r="E648" i="1" s="1"/>
  <c r="G649" i="1" a="1"/>
  <c r="G649" i="1" s="1"/>
  <c r="F650" i="1" s="1" a="1"/>
  <c r="F650" i="1" s="1"/>
  <c r="H648" i="1" l="1"/>
  <c r="I648" i="1" a="1"/>
  <c r="I648" i="1" s="1"/>
  <c r="E649" i="1" a="1"/>
  <c r="E649" i="1" s="1"/>
  <c r="G650" i="1" a="1"/>
  <c r="G650" i="1" s="1"/>
  <c r="F651" i="1" s="1" a="1"/>
  <c r="F651" i="1" s="1"/>
  <c r="H649" i="1" l="1"/>
  <c r="I649" i="1" a="1"/>
  <c r="I649" i="1" s="1"/>
  <c r="E650" i="1" a="1"/>
  <c r="E650" i="1" s="1"/>
  <c r="G651" i="1" a="1"/>
  <c r="G651" i="1" s="1"/>
  <c r="F652" i="1" s="1" a="1"/>
  <c r="F652" i="1" s="1"/>
  <c r="H650" i="1" l="1"/>
  <c r="I650" i="1" a="1"/>
  <c r="I650" i="1" s="1"/>
  <c r="E651" i="1" a="1"/>
  <c r="E651" i="1" s="1"/>
  <c r="G652" i="1" a="1"/>
  <c r="G652" i="1" s="1"/>
  <c r="E652" i="1" s="1" a="1"/>
  <c r="E652" i="1" s="1"/>
  <c r="I652" i="1" s="1" a="1"/>
  <c r="I652" i="1" s="1"/>
  <c r="H651" i="1" l="1"/>
  <c r="H652" i="1" s="1"/>
  <c r="I651" i="1" a="1"/>
  <c r="I651" i="1" s="1"/>
  <c r="F653" i="1" a="1"/>
  <c r="F653" i="1" s="1"/>
  <c r="G653" i="1" l="1" a="1"/>
  <c r="G653" i="1" s="1"/>
  <c r="E653" i="1" l="1" a="1"/>
  <c r="E653" i="1" s="1"/>
  <c r="F654" i="1" a="1"/>
  <c r="F654" i="1" s="1"/>
  <c r="H653" i="1" l="1"/>
  <c r="I653" i="1" a="1"/>
  <c r="I653" i="1" s="1"/>
  <c r="G654" i="1" a="1"/>
  <c r="G654" i="1" s="1"/>
  <c r="E654" i="1" l="1" a="1"/>
  <c r="E654" i="1" s="1"/>
  <c r="F655" i="1" a="1"/>
  <c r="F655" i="1" s="1"/>
  <c r="H654" i="1" l="1"/>
  <c r="I654" i="1" a="1"/>
  <c r="I654" i="1" s="1"/>
  <c r="G655" i="1" a="1"/>
  <c r="G655" i="1" s="1"/>
  <c r="F656" i="1" s="1" a="1"/>
  <c r="F656" i="1" s="1"/>
  <c r="E655" i="1" l="1" a="1"/>
  <c r="E655" i="1" s="1"/>
  <c r="G656" i="1" a="1"/>
  <c r="G656" i="1" s="1"/>
  <c r="F657" i="1" s="1" a="1"/>
  <c r="F657" i="1" s="1"/>
  <c r="H655" i="1" l="1"/>
  <c r="I655" i="1" a="1"/>
  <c r="I655" i="1" s="1"/>
  <c r="E656" i="1" a="1"/>
  <c r="E656" i="1" s="1"/>
  <c r="G657" i="1" a="1"/>
  <c r="G657" i="1" s="1"/>
  <c r="F658" i="1" s="1" a="1"/>
  <c r="F658" i="1" s="1"/>
  <c r="H656" i="1" l="1"/>
  <c r="I656" i="1" a="1"/>
  <c r="I656" i="1" s="1"/>
  <c r="E657" i="1" a="1"/>
  <c r="E657" i="1" s="1"/>
  <c r="G658" i="1" a="1"/>
  <c r="G658" i="1" s="1"/>
  <c r="F659" i="1" s="1" a="1"/>
  <c r="F659" i="1" s="1"/>
  <c r="H657" i="1" l="1"/>
  <c r="I657" i="1" a="1"/>
  <c r="I657" i="1" s="1"/>
  <c r="E658" i="1" a="1"/>
  <c r="E658" i="1" s="1"/>
  <c r="G659" i="1" a="1"/>
  <c r="G659" i="1" s="1"/>
  <c r="F660" i="1" s="1" a="1"/>
  <c r="F660" i="1" s="1"/>
  <c r="H658" i="1" l="1"/>
  <c r="I658" i="1" a="1"/>
  <c r="I658" i="1" s="1"/>
  <c r="E659" i="1" a="1"/>
  <c r="E659" i="1" s="1"/>
  <c r="G660" i="1" a="1"/>
  <c r="G660" i="1" s="1"/>
  <c r="F661" i="1" s="1" a="1"/>
  <c r="F661" i="1" s="1"/>
  <c r="H659" i="1" l="1"/>
  <c r="I659" i="1" a="1"/>
  <c r="I659" i="1" s="1"/>
  <c r="E660" i="1" a="1"/>
  <c r="E660" i="1" s="1"/>
  <c r="G661" i="1" a="1"/>
  <c r="G661" i="1" s="1"/>
  <c r="F662" i="1" s="1" a="1"/>
  <c r="F662" i="1" s="1"/>
  <c r="H660" i="1" l="1"/>
  <c r="I660" i="1" a="1"/>
  <c r="I660" i="1" s="1"/>
  <c r="E661" i="1" a="1"/>
  <c r="E661" i="1" s="1"/>
  <c r="G662" i="1" a="1"/>
  <c r="G662" i="1" s="1"/>
  <c r="E662" i="1" s="1" a="1"/>
  <c r="E662" i="1" s="1"/>
  <c r="I662" i="1" s="1" a="1"/>
  <c r="I662" i="1" s="1"/>
  <c r="H661" i="1" l="1"/>
  <c r="H662" i="1" s="1"/>
  <c r="I661" i="1" a="1"/>
  <c r="I661" i="1" s="1"/>
  <c r="F663" i="1" a="1"/>
  <c r="F663" i="1" s="1"/>
  <c r="G663" i="1" l="1" a="1"/>
  <c r="G663" i="1" s="1"/>
  <c r="E663" i="1" l="1" a="1"/>
  <c r="E663" i="1" s="1"/>
  <c r="F664" i="1" a="1"/>
  <c r="F664" i="1" s="1"/>
  <c r="H663" i="1" l="1"/>
  <c r="I663" i="1" a="1"/>
  <c r="I663" i="1" s="1"/>
  <c r="G664" i="1" a="1"/>
  <c r="G664" i="1" s="1"/>
  <c r="F665" i="1" s="1" a="1"/>
  <c r="F665" i="1" s="1"/>
  <c r="E664" i="1" l="1" a="1"/>
  <c r="E664" i="1" s="1"/>
  <c r="G665" i="1" a="1"/>
  <c r="G665" i="1" s="1"/>
  <c r="F666" i="1" s="1" a="1"/>
  <c r="F666" i="1" s="1"/>
  <c r="H664" i="1" l="1"/>
  <c r="I664" i="1" a="1"/>
  <c r="I664" i="1" s="1"/>
  <c r="E665" i="1" a="1"/>
  <c r="E665" i="1" s="1"/>
  <c r="G666" i="1" a="1"/>
  <c r="G666" i="1" s="1"/>
  <c r="F667" i="1" s="1" a="1"/>
  <c r="F667" i="1" s="1"/>
  <c r="H665" i="1" l="1"/>
  <c r="I665" i="1" a="1"/>
  <c r="I665" i="1" s="1"/>
  <c r="E666" i="1" a="1"/>
  <c r="E666" i="1" s="1"/>
  <c r="G667" i="1" a="1"/>
  <c r="G667" i="1" s="1"/>
  <c r="E667" i="1" s="1" a="1"/>
  <c r="E667" i="1" s="1"/>
  <c r="I667" i="1" s="1" a="1"/>
  <c r="I667" i="1" s="1"/>
  <c r="H666" i="1" l="1"/>
  <c r="H667" i="1" s="1"/>
  <c r="I666" i="1" a="1"/>
  <c r="I666" i="1" s="1"/>
  <c r="F668" i="1" a="1"/>
  <c r="F668" i="1" s="1"/>
  <c r="G668" i="1" l="1" a="1"/>
  <c r="G668" i="1" s="1"/>
  <c r="E668" i="1" l="1" a="1"/>
  <c r="E668" i="1" s="1"/>
  <c r="F669" i="1" a="1"/>
  <c r="F669" i="1" s="1"/>
  <c r="H668" i="1" l="1"/>
  <c r="I668" i="1" a="1"/>
  <c r="I668" i="1" s="1"/>
  <c r="G669" i="1" a="1"/>
  <c r="G669" i="1" s="1"/>
  <c r="E669" i="1" l="1" a="1"/>
  <c r="E669" i="1" s="1"/>
  <c r="F670" i="1" a="1"/>
  <c r="F670" i="1" s="1"/>
  <c r="H669" i="1" l="1"/>
  <c r="I669" i="1" a="1"/>
  <c r="I669" i="1" s="1"/>
  <c r="G670" i="1" a="1"/>
  <c r="G670" i="1" s="1"/>
  <c r="F671" i="1" s="1" a="1"/>
  <c r="F671" i="1" s="1"/>
  <c r="E670" i="1" l="1" a="1"/>
  <c r="E670" i="1" s="1"/>
  <c r="G671" i="1" a="1"/>
  <c r="G671" i="1" s="1"/>
  <c r="F672" i="1" s="1" a="1"/>
  <c r="F672" i="1" s="1"/>
  <c r="H670" i="1" l="1"/>
  <c r="I670" i="1" a="1"/>
  <c r="I670" i="1" s="1"/>
  <c r="E671" i="1" a="1"/>
  <c r="E671" i="1" s="1"/>
  <c r="G672" i="1" a="1"/>
  <c r="G672" i="1" s="1"/>
  <c r="F673" i="1" s="1" a="1"/>
  <c r="F673" i="1" s="1"/>
  <c r="H671" i="1" l="1"/>
  <c r="I671" i="1" a="1"/>
  <c r="I671" i="1" s="1"/>
  <c r="E672" i="1" a="1"/>
  <c r="E672" i="1" s="1"/>
  <c r="G673" i="1" a="1"/>
  <c r="G673" i="1" s="1"/>
  <c r="E673" i="1" s="1" a="1"/>
  <c r="E673" i="1" s="1"/>
  <c r="I673" i="1" s="1" a="1"/>
  <c r="I673" i="1" s="1"/>
  <c r="H672" i="1" l="1"/>
  <c r="H673" i="1" s="1"/>
  <c r="I672" i="1" a="1"/>
  <c r="I672" i="1" s="1"/>
  <c r="F674" i="1" a="1"/>
  <c r="F674" i="1" s="1"/>
  <c r="G674" i="1" l="1" a="1"/>
  <c r="G674" i="1" s="1"/>
  <c r="E674" i="1" l="1" a="1"/>
  <c r="E674" i="1" s="1"/>
  <c r="F675" i="1" a="1"/>
  <c r="F675" i="1" s="1"/>
  <c r="H674" i="1" l="1"/>
  <c r="I674" i="1" a="1"/>
  <c r="I674" i="1" s="1"/>
  <c r="G675" i="1" a="1"/>
  <c r="G675" i="1" s="1"/>
  <c r="E675" i="1" l="1" a="1"/>
  <c r="E675" i="1" s="1"/>
  <c r="F676" i="1" a="1"/>
  <c r="F676" i="1" s="1"/>
  <c r="H675" i="1" l="1"/>
  <c r="I675" i="1" a="1"/>
  <c r="I675" i="1" s="1"/>
  <c r="G676" i="1" a="1"/>
  <c r="G676" i="1" s="1"/>
  <c r="F677" i="1" s="1" a="1"/>
  <c r="F677" i="1" s="1"/>
  <c r="E676" i="1" l="1" a="1"/>
  <c r="E676" i="1" s="1"/>
  <c r="G677" i="1" a="1"/>
  <c r="G677" i="1" s="1"/>
  <c r="F678" i="1" s="1" a="1"/>
  <c r="F678" i="1" s="1"/>
  <c r="H676" i="1" l="1"/>
  <c r="I676" i="1" a="1"/>
  <c r="I676" i="1" s="1"/>
  <c r="E677" i="1" a="1"/>
  <c r="E677" i="1" s="1"/>
  <c r="G678" i="1" a="1"/>
  <c r="G678" i="1" s="1"/>
  <c r="F679" i="1" s="1" a="1"/>
  <c r="F679" i="1" s="1"/>
  <c r="H677" i="1" l="1"/>
  <c r="I677" i="1" a="1"/>
  <c r="I677" i="1" s="1"/>
  <c r="E678" i="1" a="1"/>
  <c r="E678" i="1" s="1"/>
  <c r="G679" i="1" a="1"/>
  <c r="G679" i="1" s="1"/>
  <c r="F680" i="1" s="1" a="1"/>
  <c r="F680" i="1" s="1"/>
  <c r="H678" i="1" l="1"/>
  <c r="I678" i="1" a="1"/>
  <c r="I678" i="1" s="1"/>
  <c r="E679" i="1" a="1"/>
  <c r="E679" i="1" s="1"/>
  <c r="G680" i="1" a="1"/>
  <c r="G680" i="1" s="1"/>
  <c r="E680" i="1" s="1" a="1"/>
  <c r="E680" i="1" s="1"/>
  <c r="I680" i="1" s="1" a="1"/>
  <c r="I680" i="1" s="1"/>
  <c r="H679" i="1" l="1"/>
  <c r="H680" i="1" s="1"/>
  <c r="I679" i="1" a="1"/>
  <c r="I679" i="1" s="1"/>
  <c r="F681" i="1" a="1"/>
  <c r="F681" i="1" s="1"/>
  <c r="G681" i="1" l="1" a="1"/>
  <c r="G681" i="1" s="1"/>
  <c r="E681" i="1" l="1" a="1"/>
  <c r="E681" i="1" s="1"/>
  <c r="F682" i="1" a="1"/>
  <c r="F682" i="1" s="1"/>
  <c r="H681" i="1" l="1"/>
  <c r="I681" i="1" a="1"/>
  <c r="I681" i="1" s="1"/>
  <c r="G682" i="1" a="1"/>
  <c r="G682" i="1" s="1"/>
  <c r="F683" i="1" s="1" a="1"/>
  <c r="F683" i="1" s="1"/>
  <c r="E682" i="1" l="1" a="1"/>
  <c r="E682" i="1" s="1"/>
  <c r="G683" i="1" a="1"/>
  <c r="G683" i="1" s="1"/>
  <c r="F684" i="1" s="1" a="1"/>
  <c r="F684" i="1" s="1"/>
  <c r="H682" i="1" l="1"/>
  <c r="I682" i="1" a="1"/>
  <c r="I682" i="1" s="1"/>
  <c r="E683" i="1" a="1"/>
  <c r="E683" i="1" s="1"/>
  <c r="G684" i="1" a="1"/>
  <c r="G684" i="1" s="1"/>
  <c r="F685" i="1" s="1" a="1"/>
  <c r="F685" i="1" s="1"/>
  <c r="H683" i="1" l="1"/>
  <c r="I683" i="1" a="1"/>
  <c r="I683" i="1" s="1"/>
  <c r="E684" i="1" a="1"/>
  <c r="E684" i="1" s="1"/>
  <c r="G685" i="1" a="1"/>
  <c r="G685" i="1" s="1"/>
  <c r="E685" i="1" s="1" a="1"/>
  <c r="E685" i="1" s="1"/>
  <c r="I685" i="1" s="1" a="1"/>
  <c r="I685" i="1" s="1"/>
  <c r="H684" i="1" l="1"/>
  <c r="H685" i="1" s="1"/>
  <c r="I684" i="1" a="1"/>
  <c r="I684" i="1" s="1"/>
  <c r="F686" i="1" a="1"/>
  <c r="F686" i="1" s="1"/>
  <c r="G686" i="1" l="1" a="1"/>
  <c r="G686" i="1" s="1"/>
  <c r="E686" i="1" l="1" a="1"/>
  <c r="E686" i="1" s="1"/>
  <c r="F687" i="1" a="1"/>
  <c r="F687" i="1" s="1"/>
  <c r="H686" i="1" l="1"/>
  <c r="I686" i="1" a="1"/>
  <c r="I686" i="1" s="1"/>
  <c r="G687" i="1" a="1"/>
  <c r="G687" i="1" s="1"/>
  <c r="E687" i="1" l="1" a="1"/>
  <c r="E687" i="1" s="1"/>
  <c r="F688" i="1" a="1"/>
  <c r="F688" i="1" s="1"/>
  <c r="H687" i="1" l="1"/>
  <c r="I687" i="1" a="1"/>
  <c r="I687" i="1" s="1"/>
  <c r="G688" i="1" a="1"/>
  <c r="G688" i="1" s="1"/>
  <c r="F689" i="1" s="1" a="1"/>
  <c r="F689" i="1" s="1"/>
  <c r="E688" i="1" l="1" a="1"/>
  <c r="E688" i="1" s="1"/>
  <c r="G689" i="1" a="1"/>
  <c r="G689" i="1" s="1"/>
  <c r="F690" i="1" s="1" a="1"/>
  <c r="F690" i="1" s="1"/>
  <c r="H688" i="1" l="1"/>
  <c r="I688" i="1" a="1"/>
  <c r="I688" i="1" s="1"/>
  <c r="E689" i="1" a="1"/>
  <c r="E689" i="1" s="1"/>
  <c r="G690" i="1" a="1"/>
  <c r="G690" i="1" s="1"/>
  <c r="F691" i="1" s="1" a="1"/>
  <c r="F691" i="1" s="1"/>
  <c r="H689" i="1" l="1"/>
  <c r="I689" i="1" a="1"/>
  <c r="I689" i="1" s="1"/>
  <c r="E690" i="1" a="1"/>
  <c r="E690" i="1" s="1"/>
  <c r="G691" i="1" a="1"/>
  <c r="G691" i="1" s="1"/>
  <c r="E691" i="1" s="1" a="1"/>
  <c r="E691" i="1" s="1"/>
  <c r="I691" i="1" s="1" a="1"/>
  <c r="I691" i="1" s="1"/>
  <c r="H690" i="1" l="1"/>
  <c r="H691" i="1" s="1"/>
  <c r="I690" i="1" a="1"/>
  <c r="I690" i="1" s="1"/>
  <c r="F692" i="1" a="1"/>
  <c r="F692" i="1" s="1"/>
  <c r="G692" i="1" l="1" a="1"/>
  <c r="G692" i="1" s="1"/>
  <c r="E692" i="1" l="1" a="1"/>
  <c r="E692" i="1" s="1"/>
  <c r="F693" i="1" a="1"/>
  <c r="F693" i="1" s="1"/>
  <c r="H692" i="1" l="1"/>
  <c r="I692" i="1" a="1"/>
  <c r="I692" i="1" s="1"/>
  <c r="G693" i="1" a="1"/>
  <c r="G693" i="1" s="1"/>
  <c r="E693" i="1" l="1" a="1"/>
  <c r="E693" i="1" s="1"/>
  <c r="F694" i="1" a="1"/>
  <c r="F694" i="1" s="1"/>
  <c r="H693" i="1" l="1"/>
  <c r="I693" i="1" a="1"/>
  <c r="I693" i="1" s="1"/>
  <c r="G694" i="1" a="1"/>
  <c r="G694" i="1" s="1"/>
  <c r="F695" i="1" s="1" a="1"/>
  <c r="F695" i="1" s="1"/>
  <c r="E694" i="1" l="1" a="1"/>
  <c r="E694" i="1" s="1"/>
  <c r="G695" i="1" a="1"/>
  <c r="G695" i="1" s="1"/>
  <c r="F696" i="1" s="1" a="1"/>
  <c r="F696" i="1" s="1"/>
  <c r="H694" i="1" l="1"/>
  <c r="I694" i="1" a="1"/>
  <c r="I694" i="1" s="1"/>
  <c r="E695" i="1" a="1"/>
  <c r="E695" i="1" s="1"/>
  <c r="G696" i="1" a="1"/>
  <c r="G696" i="1" s="1"/>
  <c r="F697" i="1" s="1" a="1"/>
  <c r="F697" i="1" s="1"/>
  <c r="H695" i="1" l="1"/>
  <c r="I695" i="1" a="1"/>
  <c r="I695" i="1" s="1"/>
  <c r="E696" i="1" a="1"/>
  <c r="E696" i="1" s="1"/>
  <c r="G697" i="1" a="1"/>
  <c r="G697" i="1" s="1"/>
  <c r="F698" i="1" s="1" a="1"/>
  <c r="F698" i="1" s="1"/>
  <c r="H696" i="1" l="1"/>
  <c r="I696" i="1" a="1"/>
  <c r="I696" i="1" s="1"/>
  <c r="E697" i="1" a="1"/>
  <c r="E697" i="1" s="1"/>
  <c r="G698" i="1" a="1"/>
  <c r="G698" i="1" s="1"/>
  <c r="E698" i="1" s="1" a="1"/>
  <c r="E698" i="1" s="1"/>
  <c r="I698" i="1" s="1" a="1"/>
  <c r="I698" i="1" s="1"/>
  <c r="H697" i="1" l="1"/>
  <c r="H698" i="1" s="1"/>
  <c r="I697" i="1" a="1"/>
  <c r="I697" i="1" s="1"/>
  <c r="F699" i="1" a="1"/>
  <c r="F699" i="1" s="1"/>
  <c r="G699" i="1" l="1" a="1"/>
  <c r="G699" i="1" s="1"/>
  <c r="E699" i="1" l="1" a="1"/>
  <c r="E699" i="1" s="1"/>
  <c r="F700" i="1" a="1"/>
  <c r="F700" i="1" s="1"/>
  <c r="H699" i="1" l="1"/>
  <c r="I699" i="1" a="1"/>
  <c r="I699" i="1" s="1"/>
  <c r="G700" i="1" a="1"/>
  <c r="G700" i="1" s="1"/>
  <c r="F701" i="1" s="1" a="1"/>
  <c r="F701" i="1" s="1"/>
  <c r="E700" i="1" l="1" a="1"/>
  <c r="E700" i="1" s="1"/>
  <c r="G701" i="1" a="1"/>
  <c r="G701" i="1" s="1"/>
  <c r="F702" i="1" s="1" a="1"/>
  <c r="F702" i="1" s="1"/>
  <c r="H700" i="1" l="1"/>
  <c r="I700" i="1" a="1"/>
  <c r="I700" i="1" s="1"/>
  <c r="E701" i="1" a="1"/>
  <c r="E701" i="1" s="1"/>
  <c r="G702" i="1" a="1"/>
  <c r="G702" i="1" s="1"/>
  <c r="F703" i="1" s="1" a="1"/>
  <c r="F703" i="1" s="1"/>
  <c r="H701" i="1" l="1"/>
  <c r="I701" i="1" a="1"/>
  <c r="I701" i="1" s="1"/>
  <c r="E702" i="1" a="1"/>
  <c r="E702" i="1" s="1"/>
  <c r="G703" i="1" a="1"/>
  <c r="G703" i="1" s="1"/>
  <c r="E703" i="1" s="1" a="1"/>
  <c r="E703" i="1" s="1"/>
  <c r="I703" i="1" s="1" a="1"/>
  <c r="I703" i="1" s="1"/>
  <c r="H702" i="1" l="1"/>
  <c r="H703" i="1" s="1"/>
  <c r="I702" i="1" a="1"/>
  <c r="I702" i="1" s="1"/>
  <c r="F704" i="1" a="1"/>
  <c r="F704" i="1" s="1"/>
  <c r="G704" i="1" l="1" a="1"/>
  <c r="G704" i="1" s="1"/>
  <c r="E704" i="1" l="1" a="1"/>
  <c r="E704" i="1" s="1"/>
  <c r="F705" i="1" a="1"/>
  <c r="F705" i="1" s="1"/>
  <c r="H704" i="1" l="1"/>
  <c r="I704" i="1" a="1"/>
  <c r="I704" i="1" s="1"/>
  <c r="G705" i="1" a="1"/>
  <c r="G705" i="1" s="1"/>
  <c r="E705" i="1" l="1" a="1"/>
  <c r="E705" i="1" s="1"/>
  <c r="F706" i="1" a="1"/>
  <c r="F706" i="1" s="1"/>
  <c r="H705" i="1" l="1"/>
  <c r="I705" i="1" a="1"/>
  <c r="I705" i="1" s="1"/>
  <c r="G706" i="1" a="1"/>
  <c r="G706" i="1" s="1"/>
  <c r="F707" i="1" s="1" a="1"/>
  <c r="F707" i="1" s="1"/>
  <c r="E706" i="1" l="1" a="1"/>
  <c r="E706" i="1" s="1"/>
  <c r="G707" i="1" a="1"/>
  <c r="G707" i="1" s="1"/>
  <c r="F708" i="1" s="1" a="1"/>
  <c r="F708" i="1" s="1"/>
  <c r="H706" i="1" l="1"/>
  <c r="I706" i="1" a="1"/>
  <c r="I706" i="1" s="1"/>
  <c r="E707" i="1" a="1"/>
  <c r="E707" i="1" s="1"/>
  <c r="G708" i="1" a="1"/>
  <c r="G708" i="1" s="1"/>
  <c r="F709" i="1" s="1" a="1"/>
  <c r="F709" i="1" s="1"/>
  <c r="H707" i="1" l="1"/>
  <c r="I707" i="1" a="1"/>
  <c r="I707" i="1" s="1"/>
  <c r="E708" i="1" a="1"/>
  <c r="E708" i="1" s="1"/>
  <c r="G709" i="1" a="1"/>
  <c r="G709" i="1" s="1"/>
  <c r="E709" i="1" s="1" a="1"/>
  <c r="E709" i="1" s="1"/>
  <c r="I709" i="1" s="1" a="1"/>
  <c r="I709" i="1" s="1"/>
  <c r="H708" i="1" l="1"/>
  <c r="H709" i="1" s="1"/>
  <c r="I708" i="1" a="1"/>
  <c r="I708" i="1" s="1"/>
  <c r="F710" i="1" a="1"/>
  <c r="F710" i="1" s="1"/>
  <c r="G710" i="1" l="1" a="1"/>
  <c r="G710" i="1" s="1"/>
  <c r="E710" i="1" l="1" a="1"/>
  <c r="E710" i="1" s="1"/>
  <c r="F711" i="1" a="1"/>
  <c r="F711" i="1" s="1"/>
  <c r="H710" i="1" l="1"/>
  <c r="I710" i="1" a="1"/>
  <c r="I710" i="1" s="1"/>
  <c r="G711" i="1" a="1"/>
  <c r="G711" i="1" s="1"/>
  <c r="E711" i="1" l="1" a="1"/>
  <c r="E711" i="1" s="1"/>
  <c r="F712" i="1" a="1"/>
  <c r="F712" i="1" s="1"/>
  <c r="H711" i="1" l="1"/>
  <c r="I711" i="1" a="1"/>
  <c r="I711" i="1" s="1"/>
  <c r="G712" i="1" a="1"/>
  <c r="G712" i="1" s="1"/>
  <c r="F713" i="1" s="1" a="1"/>
  <c r="F713" i="1" s="1"/>
  <c r="E712" i="1" l="1" a="1"/>
  <c r="E712" i="1" s="1"/>
  <c r="G713" i="1" a="1"/>
  <c r="G713" i="1" s="1"/>
  <c r="F714" i="1" s="1" a="1"/>
  <c r="F714" i="1" s="1"/>
  <c r="H712" i="1" l="1"/>
  <c r="I712" i="1" a="1"/>
  <c r="I712" i="1" s="1"/>
  <c r="E713" i="1" a="1"/>
  <c r="E713" i="1" s="1"/>
  <c r="G714" i="1" a="1"/>
  <c r="G714" i="1" s="1"/>
  <c r="F715" i="1" s="1" a="1"/>
  <c r="F715" i="1" s="1"/>
  <c r="H713" i="1" l="1"/>
  <c r="I713" i="1" a="1"/>
  <c r="I713" i="1" s="1"/>
  <c r="E714" i="1" a="1"/>
  <c r="E714" i="1" s="1"/>
  <c r="G715" i="1" a="1"/>
  <c r="G715" i="1" s="1"/>
  <c r="F716" i="1" s="1" a="1"/>
  <c r="F716" i="1" s="1"/>
  <c r="H714" i="1" l="1"/>
  <c r="I714" i="1" a="1"/>
  <c r="I714" i="1" s="1"/>
  <c r="E715" i="1" a="1"/>
  <c r="E715" i="1" s="1"/>
  <c r="G716" i="1" a="1"/>
  <c r="G716" i="1" s="1"/>
  <c r="E716" i="1" s="1" a="1"/>
  <c r="E716" i="1" s="1"/>
  <c r="I716" i="1" s="1" a="1"/>
  <c r="I716" i="1" s="1"/>
  <c r="H715" i="1" l="1"/>
  <c r="H716" i="1" s="1"/>
  <c r="I715" i="1" a="1"/>
  <c r="I715" i="1" s="1"/>
  <c r="F717" i="1" a="1"/>
  <c r="F717" i="1" s="1"/>
  <c r="G717" i="1" l="1" a="1"/>
  <c r="G717" i="1" s="1"/>
  <c r="E717" i="1" l="1" a="1"/>
  <c r="E717" i="1" s="1"/>
  <c r="F718" i="1" a="1"/>
  <c r="F718" i="1" s="1"/>
  <c r="H717" i="1" l="1"/>
  <c r="I717" i="1" a="1"/>
  <c r="I717" i="1" s="1"/>
  <c r="G718" i="1" a="1"/>
  <c r="G718" i="1" s="1"/>
  <c r="F719" i="1" s="1" a="1"/>
  <c r="F719" i="1" s="1"/>
  <c r="E718" i="1" l="1" a="1"/>
  <c r="E718" i="1" s="1"/>
  <c r="G719" i="1" a="1"/>
  <c r="G719" i="1" s="1"/>
  <c r="F720" i="1" s="1" a="1"/>
  <c r="F720" i="1" s="1"/>
  <c r="H718" i="1" l="1"/>
  <c r="I718" i="1" a="1"/>
  <c r="I718" i="1" s="1"/>
  <c r="E719" i="1" a="1"/>
  <c r="E719" i="1" s="1"/>
  <c r="G720" i="1" a="1"/>
  <c r="G720" i="1" s="1"/>
  <c r="F721" i="1" s="1" a="1"/>
  <c r="F721" i="1" s="1"/>
  <c r="H719" i="1" l="1"/>
  <c r="I719" i="1" a="1"/>
  <c r="I719" i="1" s="1"/>
  <c r="E720" i="1" a="1"/>
  <c r="E720" i="1" s="1"/>
  <c r="G721" i="1" a="1"/>
  <c r="G721" i="1" s="1"/>
  <c r="E721" i="1" s="1" a="1"/>
  <c r="E721" i="1" s="1"/>
  <c r="I721" i="1" s="1" a="1"/>
  <c r="I721" i="1" s="1"/>
  <c r="H720" i="1" l="1"/>
  <c r="H721" i="1" s="1"/>
  <c r="I720" i="1" a="1"/>
  <c r="I720" i="1" s="1"/>
  <c r="F722" i="1" a="1"/>
  <c r="F722" i="1" s="1"/>
  <c r="G722" i="1" l="1" a="1"/>
  <c r="G722" i="1" s="1"/>
  <c r="E722" i="1" l="1" a="1"/>
  <c r="E722" i="1" s="1"/>
  <c r="F723" i="1" a="1"/>
  <c r="F723" i="1" s="1"/>
  <c r="H722" i="1" l="1"/>
  <c r="I722" i="1" a="1"/>
  <c r="I722" i="1" s="1"/>
  <c r="G723" i="1" a="1"/>
  <c r="G723" i="1" s="1"/>
  <c r="E723" i="1" l="1" a="1"/>
  <c r="E723" i="1" s="1"/>
  <c r="F724" i="1" a="1"/>
  <c r="F724" i="1" s="1"/>
  <c r="H723" i="1" l="1"/>
  <c r="I723" i="1" a="1"/>
  <c r="I723" i="1" s="1"/>
  <c r="G724" i="1" a="1"/>
  <c r="G724" i="1" s="1"/>
  <c r="F725" i="1" s="1" a="1"/>
  <c r="F725" i="1" s="1"/>
  <c r="E724" i="1" l="1" a="1"/>
  <c r="E724" i="1" s="1"/>
  <c r="G725" i="1" a="1"/>
  <c r="G725" i="1" s="1"/>
  <c r="F726" i="1" s="1" a="1"/>
  <c r="F726" i="1" s="1"/>
  <c r="H724" i="1" l="1"/>
  <c r="I724" i="1" a="1"/>
  <c r="I724" i="1" s="1"/>
  <c r="E725" i="1" a="1"/>
  <c r="E725" i="1" s="1"/>
  <c r="G726" i="1" a="1"/>
  <c r="G726" i="1" s="1"/>
  <c r="F727" i="1" s="1" a="1"/>
  <c r="F727" i="1" s="1"/>
  <c r="H725" i="1" l="1"/>
  <c r="I725" i="1" a="1"/>
  <c r="I725" i="1" s="1"/>
  <c r="E726" i="1" a="1"/>
  <c r="E726" i="1" s="1"/>
  <c r="G727" i="1" a="1"/>
  <c r="G727" i="1" s="1"/>
  <c r="E727" i="1" s="1" a="1"/>
  <c r="E727" i="1" s="1"/>
  <c r="I727" i="1" s="1" a="1"/>
  <c r="I727" i="1" s="1"/>
  <c r="H726" i="1" l="1"/>
  <c r="H727" i="1" s="1"/>
  <c r="I726" i="1" a="1"/>
  <c r="I726" i="1" s="1"/>
  <c r="F728" i="1" a="1"/>
  <c r="F728" i="1" s="1"/>
  <c r="G728" i="1" l="1" a="1"/>
  <c r="G728" i="1" s="1"/>
  <c r="E728" i="1" l="1" a="1"/>
  <c r="E728" i="1" s="1"/>
  <c r="F729" i="1" a="1"/>
  <c r="F729" i="1" s="1"/>
  <c r="H728" i="1" l="1"/>
  <c r="I728" i="1" a="1"/>
  <c r="I728" i="1" s="1"/>
  <c r="G729" i="1" a="1"/>
  <c r="G729" i="1" s="1"/>
  <c r="E729" i="1" l="1" a="1"/>
  <c r="E729" i="1" s="1"/>
  <c r="F730" i="1" a="1"/>
  <c r="F730" i="1" s="1"/>
  <c r="H729" i="1" l="1"/>
  <c r="I729" i="1" a="1"/>
  <c r="I729" i="1" s="1"/>
  <c r="G730" i="1" a="1"/>
  <c r="G730" i="1" s="1"/>
  <c r="F731" i="1" s="1" a="1"/>
  <c r="F731" i="1" s="1"/>
  <c r="E730" i="1" l="1" a="1"/>
  <c r="E730" i="1" s="1"/>
  <c r="G731" i="1" a="1"/>
  <c r="G731" i="1" s="1"/>
  <c r="F732" i="1" s="1" a="1"/>
  <c r="F732" i="1" s="1"/>
  <c r="H730" i="1" l="1"/>
  <c r="I730" i="1" a="1"/>
  <c r="I730" i="1" s="1"/>
  <c r="E731" i="1" a="1"/>
  <c r="E731" i="1" s="1"/>
  <c r="G732" i="1" a="1"/>
  <c r="G732" i="1" s="1"/>
  <c r="F733" i="1" s="1" a="1"/>
  <c r="F733" i="1" s="1"/>
  <c r="H731" i="1" l="1"/>
  <c r="I731" i="1" a="1"/>
  <c r="I731" i="1" s="1"/>
  <c r="E732" i="1" a="1"/>
  <c r="E732" i="1" s="1"/>
  <c r="G733" i="1" a="1"/>
  <c r="G733" i="1" s="1"/>
  <c r="F734" i="1" s="1" a="1"/>
  <c r="F734" i="1" s="1"/>
  <c r="H732" i="1" l="1"/>
  <c r="I732" i="1" a="1"/>
  <c r="I732" i="1" s="1"/>
  <c r="E733" i="1" a="1"/>
  <c r="E733" i="1" s="1"/>
  <c r="G734" i="1" a="1"/>
  <c r="G734" i="1" s="1"/>
  <c r="E734" i="1" s="1" a="1"/>
  <c r="E734" i="1" s="1"/>
  <c r="I734" i="1" s="1" a="1"/>
  <c r="I734" i="1" s="1"/>
  <c r="H733" i="1" l="1"/>
  <c r="H734" i="1" s="1"/>
  <c r="I733" i="1" a="1"/>
  <c r="I733" i="1" s="1"/>
  <c r="F735" i="1" a="1"/>
  <c r="F735" i="1" s="1"/>
  <c r="G735" i="1" l="1" a="1"/>
  <c r="G735" i="1" s="1"/>
  <c r="E735" i="1" l="1" a="1"/>
  <c r="E735" i="1" s="1"/>
  <c r="F736" i="1" a="1"/>
  <c r="F736" i="1" s="1"/>
  <c r="H735" i="1" l="1"/>
  <c r="I735" i="1" a="1"/>
  <c r="I735" i="1" s="1"/>
  <c r="G736" i="1" a="1"/>
  <c r="G736" i="1" s="1"/>
  <c r="F737" i="1" s="1" a="1"/>
  <c r="F737" i="1" s="1"/>
  <c r="E736" i="1" l="1" a="1"/>
  <c r="E736" i="1" s="1"/>
  <c r="G737" i="1" a="1"/>
  <c r="G737" i="1" s="1"/>
  <c r="F738" i="1" s="1" a="1"/>
  <c r="F738" i="1" s="1"/>
  <c r="H736" i="1" l="1"/>
  <c r="I736" i="1" a="1"/>
  <c r="I736" i="1" s="1"/>
  <c r="E737" i="1" a="1"/>
  <c r="E737" i="1" s="1"/>
  <c r="G738" i="1" a="1"/>
  <c r="G738" i="1" s="1"/>
  <c r="F739" i="1" s="1" a="1"/>
  <c r="F739" i="1" s="1"/>
  <c r="H737" i="1" l="1"/>
  <c r="I737" i="1" a="1"/>
  <c r="I737" i="1" s="1"/>
  <c r="E738" i="1" a="1"/>
  <c r="E738" i="1" s="1"/>
  <c r="G739" i="1" a="1"/>
  <c r="G739" i="1" s="1"/>
  <c r="E739" i="1" s="1" a="1"/>
  <c r="E739" i="1" s="1"/>
  <c r="I739" i="1" s="1" a="1"/>
  <c r="I739" i="1" s="1"/>
  <c r="H738" i="1" l="1"/>
  <c r="H739" i="1" s="1"/>
  <c r="I738" i="1" a="1"/>
  <c r="I738" i="1" s="1"/>
  <c r="F740" i="1" a="1"/>
  <c r="F740" i="1" s="1"/>
  <c r="G740" i="1" l="1" a="1"/>
  <c r="G740" i="1" s="1"/>
  <c r="E740" i="1" l="1" a="1"/>
  <c r="E740" i="1" s="1"/>
  <c r="F741" i="1" a="1"/>
  <c r="F741" i="1" s="1"/>
  <c r="H740" i="1" l="1"/>
  <c r="I740" i="1" a="1"/>
  <c r="I740" i="1" s="1"/>
  <c r="G741" i="1" a="1"/>
  <c r="G741" i="1" s="1"/>
  <c r="E741" i="1" l="1" a="1"/>
  <c r="E741" i="1" s="1"/>
  <c r="F742" i="1" a="1"/>
  <c r="F742" i="1" s="1"/>
  <c r="H741" i="1" l="1"/>
  <c r="I741" i="1" a="1"/>
  <c r="I741" i="1" s="1"/>
  <c r="G742" i="1" a="1"/>
  <c r="G742" i="1" s="1"/>
  <c r="F743" i="1" s="1" a="1"/>
  <c r="F743" i="1" s="1"/>
  <c r="E742" i="1" l="1" a="1"/>
  <c r="E742" i="1" s="1"/>
  <c r="G743" i="1" a="1"/>
  <c r="G743" i="1" s="1"/>
  <c r="F744" i="1" s="1" a="1"/>
  <c r="F744" i="1" s="1"/>
  <c r="H742" i="1" l="1"/>
  <c r="I742" i="1" a="1"/>
  <c r="I742" i="1" s="1"/>
  <c r="E743" i="1" a="1"/>
  <c r="E743" i="1" s="1"/>
  <c r="G744" i="1" a="1"/>
  <c r="G744" i="1" s="1"/>
  <c r="F745" i="1" s="1" a="1"/>
  <c r="F745" i="1" s="1"/>
  <c r="H743" i="1" l="1"/>
  <c r="I743" i="1" a="1"/>
  <c r="I743" i="1" s="1"/>
  <c r="E744" i="1" a="1"/>
  <c r="E744" i="1" s="1"/>
  <c r="G745" i="1" a="1"/>
  <c r="G745" i="1" s="1"/>
  <c r="E745" i="1" s="1" a="1"/>
  <c r="E745" i="1" s="1"/>
  <c r="I745" i="1" s="1" a="1"/>
  <c r="I745" i="1" s="1"/>
  <c r="H744" i="1" l="1"/>
  <c r="H745" i="1" s="1"/>
  <c r="I744" i="1" a="1"/>
  <c r="I744" i="1" s="1"/>
  <c r="F746" i="1" a="1"/>
  <c r="F746" i="1" s="1"/>
  <c r="G746" i="1" l="1" a="1"/>
  <c r="G746" i="1" s="1"/>
  <c r="E746" i="1" l="1" a="1"/>
  <c r="E746" i="1" s="1"/>
  <c r="F747" i="1" a="1"/>
  <c r="F747" i="1" s="1"/>
  <c r="H746" i="1" l="1"/>
  <c r="I746" i="1" a="1"/>
  <c r="I746" i="1" s="1"/>
  <c r="G747" i="1" a="1"/>
  <c r="G747" i="1" s="1"/>
  <c r="E747" i="1" l="1" a="1"/>
  <c r="E747" i="1" s="1"/>
  <c r="F748" i="1" a="1"/>
  <c r="F748" i="1" s="1"/>
  <c r="H747" i="1" l="1"/>
  <c r="I747" i="1" a="1"/>
  <c r="I747" i="1" s="1"/>
  <c r="G748" i="1" a="1"/>
  <c r="G748" i="1" s="1"/>
  <c r="F749" i="1" s="1" a="1"/>
  <c r="F749" i="1" s="1"/>
  <c r="E748" i="1" l="1" a="1"/>
  <c r="E748" i="1" s="1"/>
  <c r="G749" i="1" a="1"/>
  <c r="G749" i="1" s="1"/>
  <c r="F750" i="1" s="1" a="1"/>
  <c r="F750" i="1" s="1"/>
  <c r="H748" i="1" l="1"/>
  <c r="I748" i="1" a="1"/>
  <c r="I748" i="1" s="1"/>
  <c r="E749" i="1" a="1"/>
  <c r="E749" i="1" s="1"/>
  <c r="G750" i="1" a="1"/>
  <c r="G750" i="1" s="1"/>
  <c r="F751" i="1" s="1" a="1"/>
  <c r="F751" i="1" s="1"/>
  <c r="H749" i="1" l="1"/>
  <c r="I749" i="1" a="1"/>
  <c r="I749" i="1" s="1"/>
  <c r="E750" i="1" a="1"/>
  <c r="E750" i="1" s="1"/>
  <c r="G751" i="1" a="1"/>
  <c r="G751" i="1" s="1"/>
  <c r="F752" i="1" s="1" a="1"/>
  <c r="F752" i="1" s="1"/>
  <c r="H750" i="1" l="1"/>
  <c r="I750" i="1" a="1"/>
  <c r="I750" i="1" s="1"/>
  <c r="E751" i="1" a="1"/>
  <c r="E751" i="1" s="1"/>
  <c r="G752" i="1" a="1"/>
  <c r="G752" i="1" s="1"/>
  <c r="E752" i="1" s="1" a="1"/>
  <c r="E752" i="1" s="1"/>
  <c r="I752" i="1" s="1" a="1"/>
  <c r="I752" i="1" s="1"/>
  <c r="H751" i="1" l="1"/>
  <c r="H752" i="1" s="1"/>
  <c r="I751" i="1" a="1"/>
  <c r="I751" i="1" s="1"/>
  <c r="F753" i="1" a="1"/>
  <c r="F753" i="1" s="1"/>
  <c r="G753" i="1" l="1" a="1"/>
  <c r="G753" i="1" s="1"/>
  <c r="E753" i="1" l="1" a="1"/>
  <c r="E753" i="1" s="1"/>
  <c r="F754" i="1" a="1"/>
  <c r="F754" i="1" s="1"/>
  <c r="H753" i="1" l="1"/>
  <c r="I753" i="1" a="1"/>
  <c r="I753" i="1" s="1"/>
  <c r="G754" i="1" a="1"/>
  <c r="G754" i="1" s="1"/>
  <c r="F755" i="1" s="1" a="1"/>
  <c r="F755" i="1" s="1"/>
  <c r="E754" i="1" l="1" a="1"/>
  <c r="E754" i="1" s="1"/>
  <c r="G755" i="1" a="1"/>
  <c r="G755" i="1" s="1"/>
  <c r="F756" i="1" s="1" a="1"/>
  <c r="F756" i="1" s="1"/>
  <c r="H754" i="1" l="1"/>
  <c r="I754" i="1" a="1"/>
  <c r="I754" i="1" s="1"/>
  <c r="E755" i="1" a="1"/>
  <c r="E755" i="1" s="1"/>
  <c r="G756" i="1" a="1"/>
  <c r="G756" i="1" s="1"/>
  <c r="F757" i="1" s="1" a="1"/>
  <c r="F757" i="1" s="1"/>
  <c r="H755" i="1" l="1"/>
  <c r="I755" i="1" a="1"/>
  <c r="I755" i="1" s="1"/>
  <c r="E756" i="1" a="1"/>
  <c r="E756" i="1" s="1"/>
  <c r="G757" i="1" a="1"/>
  <c r="G757" i="1" s="1"/>
  <c r="E757" i="1" s="1" a="1"/>
  <c r="E757" i="1" s="1"/>
  <c r="I757" i="1" s="1" a="1"/>
  <c r="I757" i="1" s="1"/>
  <c r="H756" i="1" l="1"/>
  <c r="H757" i="1" s="1"/>
  <c r="I756" i="1" a="1"/>
  <c r="I756" i="1" s="1"/>
  <c r="F758" i="1" a="1"/>
  <c r="F758" i="1" s="1"/>
  <c r="G758" i="1" l="1" a="1"/>
  <c r="G758" i="1" s="1"/>
  <c r="E758" i="1" l="1" a="1"/>
  <c r="E758" i="1" s="1"/>
  <c r="F759" i="1" a="1"/>
  <c r="F759" i="1" s="1"/>
  <c r="H758" i="1" l="1"/>
  <c r="I758" i="1" a="1"/>
  <c r="I758" i="1" s="1"/>
  <c r="G759" i="1" a="1"/>
  <c r="G759" i="1" s="1"/>
  <c r="E759" i="1" l="1" a="1"/>
  <c r="E759" i="1" s="1"/>
  <c r="F760" i="1" a="1"/>
  <c r="F760" i="1" s="1"/>
  <c r="H759" i="1" l="1"/>
  <c r="I759" i="1" a="1"/>
  <c r="I759" i="1" s="1"/>
  <c r="G760" i="1" a="1"/>
  <c r="G760" i="1" s="1"/>
  <c r="F761" i="1" s="1" a="1"/>
  <c r="F761" i="1" s="1"/>
  <c r="E760" i="1" l="1" a="1"/>
  <c r="E760" i="1" s="1"/>
  <c r="G761" i="1" a="1"/>
  <c r="G761" i="1" s="1"/>
  <c r="F762" i="1" s="1" a="1"/>
  <c r="F762" i="1" s="1"/>
  <c r="H760" i="1" l="1"/>
  <c r="I760" i="1" a="1"/>
  <c r="I760" i="1" s="1"/>
  <c r="E761" i="1" a="1"/>
  <c r="E761" i="1" s="1"/>
  <c r="G762" i="1" a="1"/>
  <c r="G762" i="1" s="1"/>
  <c r="F763" i="1" s="1" a="1"/>
  <c r="F763" i="1" s="1"/>
  <c r="H761" i="1" l="1"/>
  <c r="I761" i="1" a="1"/>
  <c r="I761" i="1" s="1"/>
  <c r="E762" i="1" a="1"/>
  <c r="E762" i="1" s="1"/>
  <c r="G763" i="1" a="1"/>
  <c r="G763" i="1" s="1"/>
  <c r="E763" i="1" s="1" a="1"/>
  <c r="E763" i="1" s="1"/>
  <c r="I763" i="1" s="1" a="1"/>
  <c r="I763" i="1" s="1"/>
  <c r="H762" i="1" l="1"/>
  <c r="H763" i="1" s="1"/>
  <c r="I762" i="1" a="1"/>
  <c r="I762" i="1" s="1"/>
  <c r="F764" i="1" a="1"/>
  <c r="F764" i="1" s="1"/>
  <c r="G764" i="1" l="1" a="1"/>
  <c r="G764" i="1" s="1"/>
  <c r="E764" i="1" l="1" a="1"/>
  <c r="E764" i="1" s="1"/>
  <c r="F765" i="1" a="1"/>
  <c r="F765" i="1" s="1"/>
  <c r="H764" i="1" l="1"/>
  <c r="I764" i="1" a="1"/>
  <c r="I764" i="1" s="1"/>
  <c r="G765" i="1" a="1"/>
  <c r="G765" i="1" s="1"/>
  <c r="E765" i="1" l="1" a="1"/>
  <c r="E765" i="1" s="1"/>
  <c r="F766" i="1" a="1"/>
  <c r="F766" i="1" s="1"/>
  <c r="H765" i="1" l="1"/>
  <c r="I765" i="1" a="1"/>
  <c r="I765" i="1" s="1"/>
  <c r="G766" i="1" a="1"/>
  <c r="G766" i="1" s="1"/>
  <c r="F767" i="1" s="1" a="1"/>
  <c r="F767" i="1" s="1"/>
  <c r="E766" i="1" l="1" a="1"/>
  <c r="E766" i="1" s="1"/>
  <c r="G767" i="1" a="1"/>
  <c r="G767" i="1" s="1"/>
  <c r="F768" i="1" s="1" a="1"/>
  <c r="F768" i="1" s="1"/>
  <c r="H766" i="1" l="1"/>
  <c r="I766" i="1" a="1"/>
  <c r="I766" i="1" s="1"/>
  <c r="E767" i="1" a="1"/>
  <c r="E767" i="1" s="1"/>
  <c r="G768" i="1" a="1"/>
  <c r="G768" i="1" s="1"/>
  <c r="F769" i="1" s="1" a="1"/>
  <c r="F769" i="1" s="1"/>
  <c r="H767" i="1" l="1"/>
  <c r="I767" i="1" a="1"/>
  <c r="I767" i="1" s="1"/>
  <c r="E768" i="1" a="1"/>
  <c r="E768" i="1" s="1"/>
  <c r="G769" i="1" a="1"/>
  <c r="G769" i="1" s="1"/>
  <c r="F770" i="1" s="1" a="1"/>
  <c r="F770" i="1" s="1"/>
  <c r="H768" i="1" l="1"/>
  <c r="I768" i="1" a="1"/>
  <c r="I768" i="1" s="1"/>
  <c r="E769" i="1" a="1"/>
  <c r="E769" i="1" s="1"/>
  <c r="G770" i="1" a="1"/>
  <c r="G770" i="1" s="1"/>
  <c r="E770" i="1" s="1" a="1"/>
  <c r="E770" i="1" s="1"/>
  <c r="I770" i="1" s="1" a="1"/>
  <c r="I770" i="1" s="1"/>
  <c r="H769" i="1" l="1"/>
  <c r="H770" i="1" s="1"/>
  <c r="I769" i="1" a="1"/>
  <c r="I769" i="1" s="1"/>
  <c r="F771" i="1" a="1"/>
  <c r="F771" i="1" s="1"/>
  <c r="G771" i="1" l="1" a="1"/>
  <c r="G771" i="1" s="1"/>
  <c r="E771" i="1" l="1" a="1"/>
  <c r="E771" i="1" s="1"/>
  <c r="F772" i="1" a="1"/>
  <c r="F772" i="1" s="1"/>
  <c r="H771" i="1" l="1"/>
  <c r="I771" i="1" a="1"/>
  <c r="I771" i="1" s="1"/>
  <c r="G772" i="1" a="1"/>
  <c r="G772" i="1" s="1"/>
  <c r="F773" i="1" s="1" a="1"/>
  <c r="F773" i="1" s="1"/>
  <c r="E772" i="1" l="1" a="1"/>
  <c r="E772" i="1" s="1"/>
  <c r="G773" i="1" a="1"/>
  <c r="G773" i="1" s="1"/>
  <c r="F774" i="1" s="1" a="1"/>
  <c r="F774" i="1" s="1"/>
  <c r="H772" i="1" l="1"/>
  <c r="I772" i="1" a="1"/>
  <c r="I772" i="1" s="1"/>
  <c r="E773" i="1" a="1"/>
  <c r="E773" i="1" s="1"/>
  <c r="G774" i="1" a="1"/>
  <c r="G774" i="1" s="1"/>
  <c r="F775" i="1" s="1" a="1"/>
  <c r="F775" i="1" s="1"/>
  <c r="H773" i="1" l="1"/>
  <c r="I773" i="1" a="1"/>
  <c r="I773" i="1" s="1"/>
  <c r="E774" i="1" a="1"/>
  <c r="E774" i="1" s="1"/>
  <c r="G775" i="1" a="1"/>
  <c r="G775" i="1" s="1"/>
  <c r="E775" i="1" s="1" a="1"/>
  <c r="E775" i="1" s="1"/>
  <c r="I775" i="1" s="1" a="1"/>
  <c r="I775" i="1" s="1"/>
  <c r="H774" i="1" l="1"/>
  <c r="H775" i="1" s="1"/>
  <c r="I774" i="1" a="1"/>
  <c r="I774" i="1" s="1"/>
  <c r="F776" i="1" a="1"/>
  <c r="F776" i="1" s="1"/>
  <c r="G776" i="1" l="1" a="1"/>
  <c r="G776" i="1" s="1"/>
  <c r="E776" i="1" l="1" a="1"/>
  <c r="E776" i="1" s="1"/>
  <c r="F777" i="1" a="1"/>
  <c r="F777" i="1" s="1"/>
  <c r="H776" i="1" l="1"/>
  <c r="I776" i="1" a="1"/>
  <c r="I776" i="1" s="1"/>
  <c r="G777" i="1" a="1"/>
  <c r="G777" i="1" s="1"/>
  <c r="E777" i="1" l="1" a="1"/>
  <c r="E777" i="1" s="1"/>
  <c r="F778" i="1" a="1"/>
  <c r="F778" i="1" s="1"/>
  <c r="H777" i="1" l="1"/>
  <c r="I777" i="1" a="1"/>
  <c r="I777" i="1" s="1"/>
  <c r="G778" i="1" a="1"/>
  <c r="G778" i="1" s="1"/>
  <c r="F779" i="1" s="1" a="1"/>
  <c r="F779" i="1" s="1"/>
  <c r="E778" i="1" l="1" a="1"/>
  <c r="E778" i="1" s="1"/>
  <c r="G779" i="1" a="1"/>
  <c r="G779" i="1" s="1"/>
  <c r="E779" i="1" s="1" a="1"/>
  <c r="E779" i="1" s="1"/>
  <c r="I779" i="1" s="1" a="1"/>
  <c r="I779" i="1" s="1"/>
  <c r="H778" i="1" l="1"/>
  <c r="H779" i="1" s="1"/>
  <c r="I778" i="1" a="1"/>
  <c r="I778" i="1" s="1"/>
  <c r="F780" i="1" a="1"/>
  <c r="F780" i="1" s="1"/>
  <c r="G780" i="1" l="1" a="1"/>
  <c r="G780" i="1" s="1"/>
  <c r="F781" i="1" s="1" a="1"/>
  <c r="F781" i="1" s="1"/>
  <c r="E780" i="1" l="1" a="1"/>
  <c r="E780" i="1" s="1"/>
  <c r="G781" i="1" a="1"/>
  <c r="G781" i="1" s="1"/>
  <c r="E781" i="1" s="1" a="1"/>
  <c r="E781" i="1" s="1"/>
  <c r="I781" i="1" s="1" a="1"/>
  <c r="I781" i="1" s="1"/>
  <c r="H780" i="1" l="1"/>
  <c r="H781" i="1" s="1"/>
  <c r="I780" i="1" a="1"/>
  <c r="I780" i="1" s="1"/>
  <c r="F782" i="1" a="1"/>
  <c r="F782" i="1" s="1"/>
  <c r="G782" i="1" l="1" a="1"/>
  <c r="G782" i="1" s="1"/>
  <c r="F783" i="1" s="1" a="1"/>
  <c r="F783" i="1" s="1"/>
  <c r="E782" i="1" l="1" a="1"/>
  <c r="E782" i="1" s="1"/>
  <c r="G783" i="1" a="1"/>
  <c r="G783" i="1" s="1"/>
  <c r="E783" i="1" s="1" a="1"/>
  <c r="E783" i="1" s="1"/>
  <c r="I783" i="1" s="1" a="1"/>
  <c r="I783" i="1" s="1"/>
  <c r="H782" i="1" l="1"/>
  <c r="H783" i="1" s="1"/>
  <c r="I782" i="1" a="1"/>
  <c r="I782" i="1" s="1"/>
  <c r="F784" i="1" a="1"/>
  <c r="F784" i="1" s="1"/>
  <c r="G784" i="1" l="1" a="1"/>
  <c r="G784" i="1" s="1"/>
  <c r="F785" i="1" s="1" a="1"/>
  <c r="F785" i="1" s="1"/>
  <c r="E784" i="1" l="1" a="1"/>
  <c r="E784" i="1" s="1"/>
  <c r="G785" i="1" a="1"/>
  <c r="G785" i="1" s="1"/>
  <c r="E785" i="1" s="1" a="1"/>
  <c r="E785" i="1" s="1"/>
  <c r="I785" i="1" s="1" a="1"/>
  <c r="I785" i="1" s="1"/>
  <c r="H784" i="1" l="1"/>
  <c r="H785" i="1" s="1"/>
  <c r="I784" i="1" a="1"/>
  <c r="I784" i="1" s="1"/>
  <c r="F786" i="1" a="1"/>
  <c r="F786" i="1" s="1"/>
  <c r="G786" i="1" l="1" a="1"/>
  <c r="G786" i="1" s="1"/>
  <c r="F787" i="1" s="1" a="1"/>
  <c r="F787" i="1" s="1"/>
  <c r="E786" i="1" l="1" a="1"/>
  <c r="E786" i="1" s="1"/>
  <c r="G787" i="1" a="1"/>
  <c r="G787" i="1" s="1"/>
  <c r="F788" i="1" s="1" a="1"/>
  <c r="F788" i="1" s="1"/>
  <c r="H786" i="1" l="1"/>
  <c r="I786" i="1" a="1"/>
  <c r="I786" i="1" s="1"/>
  <c r="E787" i="1" a="1"/>
  <c r="E787" i="1" s="1"/>
  <c r="G788" i="1" a="1"/>
  <c r="G788" i="1" s="1"/>
  <c r="F789" i="1" s="1" a="1"/>
  <c r="F789" i="1" s="1"/>
  <c r="H787" i="1" l="1"/>
  <c r="I787" i="1" a="1"/>
  <c r="I787" i="1" s="1"/>
  <c r="E788" i="1" a="1"/>
  <c r="E788" i="1" s="1"/>
  <c r="G789" i="1" a="1"/>
  <c r="G789" i="1" s="1"/>
  <c r="E789" i="1" s="1" a="1"/>
  <c r="E789" i="1" s="1"/>
  <c r="I789" i="1" s="1" a="1"/>
  <c r="I789" i="1" s="1"/>
  <c r="H788" i="1" l="1"/>
  <c r="H789" i="1" s="1"/>
  <c r="I788" i="1" a="1"/>
  <c r="I788" i="1" s="1"/>
  <c r="F790" i="1" a="1"/>
  <c r="F790" i="1" s="1"/>
  <c r="G790" i="1" l="1" a="1"/>
  <c r="G790" i="1" s="1"/>
  <c r="E790" i="1" l="1" a="1"/>
  <c r="E790" i="1" s="1"/>
  <c r="F791" i="1" a="1"/>
  <c r="F791" i="1" s="1"/>
  <c r="H790" i="1" l="1"/>
  <c r="I790" i="1" a="1"/>
  <c r="I790" i="1" s="1"/>
  <c r="G791" i="1" a="1"/>
  <c r="G791" i="1" s="1"/>
  <c r="E791" i="1" l="1" a="1"/>
  <c r="E791" i="1" s="1"/>
  <c r="F792" i="1" a="1"/>
  <c r="F792" i="1" s="1"/>
  <c r="H791" i="1" l="1"/>
  <c r="I791" i="1" a="1"/>
  <c r="I791" i="1" s="1"/>
  <c r="G792" i="1" a="1"/>
  <c r="G792" i="1" s="1"/>
  <c r="F793" i="1" s="1" a="1"/>
  <c r="F793" i="1" s="1"/>
  <c r="E792" i="1" l="1" a="1"/>
  <c r="E792" i="1" s="1"/>
  <c r="G793" i="1" a="1"/>
  <c r="G793" i="1" s="1"/>
  <c r="F794" i="1" s="1" a="1"/>
  <c r="F794" i="1" s="1"/>
  <c r="H792" i="1" l="1"/>
  <c r="I792" i="1" a="1"/>
  <c r="I792" i="1" s="1"/>
  <c r="E793" i="1" a="1"/>
  <c r="E793" i="1" s="1"/>
  <c r="G794" i="1" a="1"/>
  <c r="G794" i="1" s="1"/>
  <c r="F795" i="1" s="1" a="1"/>
  <c r="F795" i="1" s="1"/>
  <c r="H793" i="1" l="1"/>
  <c r="I793" i="1" a="1"/>
  <c r="I793" i="1" s="1"/>
  <c r="E794" i="1" a="1"/>
  <c r="E794" i="1" s="1"/>
  <c r="G795" i="1" a="1"/>
  <c r="G795" i="1" s="1"/>
  <c r="E795" i="1" s="1" a="1"/>
  <c r="E795" i="1" s="1"/>
  <c r="I795" i="1" s="1" a="1"/>
  <c r="I795" i="1" s="1"/>
  <c r="H794" i="1" l="1"/>
  <c r="H795" i="1" s="1"/>
  <c r="I794" i="1" a="1"/>
  <c r="I794" i="1" s="1"/>
  <c r="F796" i="1" a="1"/>
  <c r="F796" i="1" s="1"/>
  <c r="G796" i="1" l="1" a="1"/>
  <c r="G796" i="1" s="1"/>
  <c r="F797" i="1" s="1" a="1"/>
  <c r="F797" i="1" s="1"/>
  <c r="E796" i="1" l="1" a="1"/>
  <c r="E796" i="1" s="1"/>
  <c r="G797" i="1" a="1"/>
  <c r="G797" i="1" s="1"/>
  <c r="E797" i="1" s="1" a="1"/>
  <c r="E797" i="1" s="1"/>
  <c r="I797" i="1" s="1" a="1"/>
  <c r="I797" i="1" s="1"/>
  <c r="H796" i="1" l="1"/>
  <c r="H797" i="1" s="1"/>
  <c r="I796" i="1" a="1"/>
  <c r="I796" i="1" s="1"/>
  <c r="F798" i="1" a="1"/>
  <c r="F798" i="1" s="1"/>
  <c r="G798" i="1" l="1" a="1"/>
  <c r="G798" i="1" s="1"/>
  <c r="F799" i="1" s="1" a="1"/>
  <c r="F799" i="1" s="1"/>
  <c r="E798" i="1" l="1" a="1"/>
  <c r="E798" i="1" s="1"/>
  <c r="G799" i="1" a="1"/>
  <c r="G799" i="1" s="1"/>
  <c r="F800" i="1" s="1" a="1"/>
  <c r="F800" i="1" s="1"/>
  <c r="H798" i="1" l="1"/>
  <c r="I798" i="1" a="1"/>
  <c r="I798" i="1" s="1"/>
  <c r="E799" i="1" a="1"/>
  <c r="E799" i="1" s="1"/>
  <c r="G800" i="1" a="1"/>
  <c r="G800" i="1" s="1"/>
  <c r="E800" i="1" s="1" a="1"/>
  <c r="E800" i="1" s="1"/>
  <c r="I800" i="1" s="1" a="1"/>
  <c r="I800" i="1" s="1"/>
  <c r="H799" i="1" l="1"/>
  <c r="H800" i="1" s="1"/>
  <c r="I799" i="1" a="1"/>
  <c r="I799" i="1" s="1"/>
  <c r="F801" i="1" a="1"/>
  <c r="F801" i="1" s="1"/>
  <c r="G801" i="1" l="1" a="1"/>
  <c r="G801" i="1" s="1"/>
  <c r="E801" i="1" l="1" a="1"/>
  <c r="E801" i="1" s="1"/>
  <c r="F802" i="1" a="1"/>
  <c r="F802" i="1" s="1"/>
  <c r="H801" i="1" l="1"/>
  <c r="I801" i="1" a="1"/>
  <c r="I801" i="1" s="1"/>
  <c r="G802" i="1" a="1"/>
  <c r="G802" i="1" s="1"/>
  <c r="E802" i="1" l="1" a="1"/>
  <c r="E802" i="1" s="1"/>
  <c r="F803" i="1" a="1"/>
  <c r="F803" i="1" s="1"/>
  <c r="H802" i="1" l="1"/>
  <c r="I802" i="1" a="1"/>
  <c r="I802" i="1" s="1"/>
  <c r="G803" i="1" a="1"/>
  <c r="G803" i="1" s="1"/>
  <c r="F804" i="1" s="1" a="1"/>
  <c r="F804" i="1" s="1"/>
  <c r="E803" i="1" l="1" a="1"/>
  <c r="E803" i="1" s="1"/>
  <c r="G804" i="1" a="1"/>
  <c r="G804" i="1" s="1"/>
  <c r="F805" i="1" s="1" a="1"/>
  <c r="F805" i="1" s="1"/>
  <c r="H803" i="1" l="1"/>
  <c r="I803" i="1" a="1"/>
  <c r="I803" i="1" s="1"/>
  <c r="E804" i="1" a="1"/>
  <c r="E804" i="1" s="1"/>
  <c r="G805" i="1" a="1"/>
  <c r="G805" i="1" s="1"/>
  <c r="F806" i="1" s="1" a="1"/>
  <c r="F806" i="1" s="1"/>
  <c r="H804" i="1" l="1"/>
  <c r="I804" i="1" a="1"/>
  <c r="I804" i="1" s="1"/>
  <c r="E805" i="1" a="1"/>
  <c r="E805" i="1" s="1"/>
  <c r="G806" i="1" a="1"/>
  <c r="G806" i="1" s="1"/>
  <c r="E806" i="1" s="1" a="1"/>
  <c r="E806" i="1" s="1"/>
  <c r="I806" i="1" s="1" a="1"/>
  <c r="I806" i="1" s="1"/>
  <c r="H805" i="1" l="1"/>
  <c r="H806" i="1" s="1"/>
  <c r="I805" i="1" a="1"/>
  <c r="I805" i="1" s="1"/>
  <c r="F807" i="1" a="1"/>
  <c r="F807" i="1" s="1"/>
  <c r="G807" i="1" l="1" a="1"/>
  <c r="G807" i="1" s="1"/>
  <c r="E807" i="1" l="1" a="1"/>
  <c r="E807" i="1" s="1"/>
  <c r="F808" i="1" a="1"/>
  <c r="F808" i="1" s="1"/>
  <c r="H807" i="1" l="1"/>
  <c r="I807" i="1" a="1"/>
  <c r="I807" i="1" s="1"/>
  <c r="G808" i="1" a="1"/>
  <c r="G808" i="1" s="1"/>
  <c r="E808" i="1" l="1" a="1"/>
  <c r="E808" i="1" s="1"/>
  <c r="F809" i="1" a="1"/>
  <c r="F809" i="1" s="1"/>
  <c r="H808" i="1" l="1"/>
  <c r="I808" i="1" a="1"/>
  <c r="I808" i="1" s="1"/>
  <c r="G809" i="1" a="1"/>
  <c r="G809" i="1" s="1"/>
  <c r="E809" i="1" l="1" a="1"/>
  <c r="E809" i="1" s="1"/>
  <c r="F810" i="1" a="1"/>
  <c r="F810" i="1" s="1"/>
  <c r="H809" i="1" l="1"/>
  <c r="I809" i="1" a="1"/>
  <c r="I809" i="1" s="1"/>
  <c r="G810" i="1" a="1"/>
  <c r="G810" i="1" s="1"/>
  <c r="F811" i="1" s="1" a="1"/>
  <c r="F811" i="1" s="1"/>
  <c r="E810" i="1" l="1" a="1"/>
  <c r="E810" i="1" s="1"/>
  <c r="G811" i="1" a="1"/>
  <c r="G811" i="1" s="1"/>
  <c r="F812" i="1" s="1" a="1"/>
  <c r="F812" i="1" s="1"/>
  <c r="H810" i="1" l="1"/>
  <c r="I810" i="1" a="1"/>
  <c r="I810" i="1" s="1"/>
  <c r="E811" i="1" a="1"/>
  <c r="E811" i="1" s="1"/>
  <c r="G812" i="1" a="1"/>
  <c r="G812" i="1" s="1"/>
  <c r="F813" i="1" s="1" a="1"/>
  <c r="F813" i="1" s="1"/>
  <c r="H811" i="1" l="1"/>
  <c r="I811" i="1" a="1"/>
  <c r="I811" i="1" s="1"/>
  <c r="E812" i="1" a="1"/>
  <c r="E812" i="1" s="1"/>
  <c r="G813" i="1" a="1"/>
  <c r="G813" i="1" s="1"/>
  <c r="E813" i="1" s="1" a="1"/>
  <c r="E813" i="1" s="1"/>
  <c r="I813" i="1" s="1" a="1"/>
  <c r="I813" i="1" s="1"/>
  <c r="H812" i="1" l="1"/>
  <c r="H813" i="1" s="1"/>
  <c r="I812" i="1" a="1"/>
  <c r="I812" i="1" s="1"/>
  <c r="F814" i="1" a="1"/>
  <c r="F814" i="1" s="1"/>
  <c r="G814" i="1" l="1" a="1"/>
  <c r="G814" i="1" s="1"/>
  <c r="E814" i="1" l="1" a="1"/>
  <c r="E814" i="1" s="1"/>
  <c r="F815" i="1" a="1"/>
  <c r="F815" i="1" s="1"/>
  <c r="H814" i="1" l="1"/>
  <c r="I814" i="1" a="1"/>
  <c r="I814" i="1" s="1"/>
  <c r="G815" i="1" a="1"/>
  <c r="G815" i="1" s="1"/>
  <c r="F816" i="1" s="1" a="1"/>
  <c r="F816" i="1" s="1"/>
  <c r="E815" i="1" l="1" a="1"/>
  <c r="E815" i="1" s="1"/>
  <c r="G816" i="1" a="1"/>
  <c r="G816" i="1" s="1"/>
  <c r="F817" i="1" s="1" a="1"/>
  <c r="F817" i="1" s="1"/>
  <c r="H815" i="1" l="1"/>
  <c r="I815" i="1" a="1"/>
  <c r="I815" i="1" s="1"/>
  <c r="E816" i="1" a="1"/>
  <c r="E816" i="1" s="1"/>
  <c r="G817" i="1" a="1"/>
  <c r="G817" i="1" s="1"/>
  <c r="F818" i="1" s="1" a="1"/>
  <c r="F818" i="1" s="1"/>
  <c r="H816" i="1" l="1"/>
  <c r="I816" i="1" a="1"/>
  <c r="I816" i="1" s="1"/>
  <c r="E817" i="1" a="1"/>
  <c r="E817" i="1" s="1"/>
  <c r="G818" i="1" a="1"/>
  <c r="G818" i="1" s="1"/>
  <c r="F819" i="1" s="1" a="1"/>
  <c r="F819" i="1" s="1"/>
  <c r="H817" i="1" l="1"/>
  <c r="I817" i="1" a="1"/>
  <c r="I817" i="1" s="1"/>
  <c r="E818" i="1" a="1"/>
  <c r="E818" i="1" s="1"/>
  <c r="G819" i="1" a="1"/>
  <c r="G819" i="1" s="1"/>
  <c r="F820" i="1" s="1" a="1"/>
  <c r="F820" i="1" s="1"/>
  <c r="H818" i="1" l="1"/>
  <c r="I818" i="1" a="1"/>
  <c r="I818" i="1" s="1"/>
  <c r="E819" i="1" a="1"/>
  <c r="E819" i="1" s="1"/>
  <c r="G820" i="1" a="1"/>
  <c r="G820" i="1" s="1"/>
  <c r="F821" i="1" s="1" a="1"/>
  <c r="F821" i="1" s="1"/>
  <c r="H819" i="1" l="1"/>
  <c r="I819" i="1" a="1"/>
  <c r="I819" i="1" s="1"/>
  <c r="E820" i="1" a="1"/>
  <c r="E820" i="1" s="1"/>
  <c r="G821" i="1" a="1"/>
  <c r="G821" i="1" s="1"/>
  <c r="E821" i="1" s="1" a="1"/>
  <c r="E821" i="1" s="1"/>
  <c r="I821" i="1" s="1" a="1"/>
  <c r="I821" i="1" s="1"/>
  <c r="H820" i="1" l="1"/>
  <c r="H821" i="1" s="1"/>
  <c r="I820" i="1" a="1"/>
  <c r="I820" i="1" s="1"/>
  <c r="F822" i="1" a="1"/>
  <c r="F822" i="1" s="1"/>
  <c r="G822" i="1" l="1" a="1"/>
  <c r="G822" i="1" s="1"/>
  <c r="F823" i="1" s="1" a="1"/>
  <c r="F823" i="1" s="1"/>
  <c r="E822" i="1" l="1" a="1"/>
  <c r="E822" i="1" s="1"/>
  <c r="G823" i="1" a="1"/>
  <c r="G823" i="1" s="1"/>
  <c r="F824" i="1" s="1" a="1"/>
  <c r="F824" i="1" s="1"/>
  <c r="H822" i="1" l="1"/>
  <c r="I822" i="1" a="1"/>
  <c r="I822" i="1" s="1"/>
  <c r="E823" i="1" a="1"/>
  <c r="E823" i="1" s="1"/>
  <c r="G824" i="1" a="1"/>
  <c r="G824" i="1" s="1"/>
  <c r="E824" i="1" s="1" a="1"/>
  <c r="E824" i="1" s="1"/>
  <c r="I824" i="1" s="1" a="1"/>
  <c r="I824" i="1" s="1"/>
  <c r="H823" i="1" l="1"/>
  <c r="H824" i="1" s="1"/>
  <c r="I823" i="1" a="1"/>
  <c r="I823" i="1" s="1"/>
  <c r="F825" i="1" a="1"/>
  <c r="F825" i="1" s="1"/>
  <c r="G825" i="1" l="1" a="1"/>
  <c r="G825" i="1" s="1"/>
  <c r="E825" i="1" l="1" a="1"/>
  <c r="E825" i="1" s="1"/>
  <c r="F826" i="1" a="1"/>
  <c r="F826" i="1" s="1"/>
  <c r="H825" i="1" l="1"/>
  <c r="I825" i="1" a="1"/>
  <c r="I825" i="1" s="1"/>
  <c r="G826" i="1" a="1"/>
  <c r="G826" i="1" s="1"/>
  <c r="E826" i="1" l="1" a="1"/>
  <c r="E826" i="1" s="1"/>
  <c r="F827" i="1" a="1"/>
  <c r="F827" i="1" s="1"/>
  <c r="H826" i="1" l="1"/>
  <c r="I826" i="1" a="1"/>
  <c r="I826" i="1" s="1"/>
  <c r="G827" i="1" a="1"/>
  <c r="G827" i="1" s="1"/>
  <c r="F828" i="1" s="1" a="1"/>
  <c r="F828" i="1" s="1"/>
  <c r="E827" i="1" l="1" a="1"/>
  <c r="E827" i="1" s="1"/>
  <c r="G828" i="1" a="1"/>
  <c r="G828" i="1" s="1"/>
  <c r="F829" i="1" s="1" a="1"/>
  <c r="F829" i="1" s="1"/>
  <c r="H827" i="1" l="1"/>
  <c r="I827" i="1" a="1"/>
  <c r="I827" i="1" s="1"/>
  <c r="E828" i="1" a="1"/>
  <c r="E828" i="1" s="1"/>
  <c r="G829" i="1" a="1"/>
  <c r="G829" i="1" s="1"/>
  <c r="F830" i="1" s="1" a="1"/>
  <c r="F830" i="1" s="1"/>
  <c r="H828" i="1" l="1"/>
  <c r="I828" i="1" a="1"/>
  <c r="I828" i="1" s="1"/>
  <c r="E829" i="1" a="1"/>
  <c r="E829" i="1" s="1"/>
  <c r="G830" i="1" a="1"/>
  <c r="G830" i="1" s="1"/>
  <c r="E830" i="1" s="1" a="1"/>
  <c r="E830" i="1" s="1"/>
  <c r="I830" i="1" s="1" a="1"/>
  <c r="I830" i="1" s="1"/>
  <c r="H829" i="1" l="1"/>
  <c r="H830" i="1" s="1"/>
  <c r="I829" i="1" a="1"/>
  <c r="I829" i="1" s="1"/>
  <c r="F831" i="1" a="1"/>
  <c r="F831" i="1" s="1"/>
  <c r="G831" i="1" l="1" a="1"/>
  <c r="G831" i="1" s="1"/>
  <c r="E831" i="1" l="1" a="1"/>
  <c r="E831" i="1" s="1"/>
  <c r="F832" i="1" a="1"/>
  <c r="F832" i="1" s="1"/>
  <c r="H831" i="1" l="1"/>
  <c r="I831" i="1" a="1"/>
  <c r="I831" i="1" s="1"/>
  <c r="G832" i="1" a="1"/>
  <c r="G832" i="1" s="1"/>
  <c r="E832" i="1" l="1" a="1"/>
  <c r="E832" i="1" s="1"/>
  <c r="F833" i="1" a="1"/>
  <c r="F833" i="1" s="1"/>
  <c r="H832" i="1" l="1"/>
  <c r="I832" i="1" a="1"/>
  <c r="I832" i="1" s="1"/>
  <c r="G833" i="1" a="1"/>
  <c r="G833" i="1" s="1"/>
  <c r="F834" i="1" s="1" a="1"/>
  <c r="F834" i="1" s="1"/>
  <c r="E833" i="1" l="1" a="1"/>
  <c r="E833" i="1" s="1"/>
  <c r="G834" i="1" a="1"/>
  <c r="G834" i="1" s="1"/>
  <c r="F835" i="1" s="1" a="1"/>
  <c r="F835" i="1" s="1"/>
  <c r="H833" i="1" l="1"/>
  <c r="I833" i="1" a="1"/>
  <c r="I833" i="1" s="1"/>
  <c r="E834" i="1" a="1"/>
  <c r="E834" i="1" s="1"/>
  <c r="G835" i="1" a="1"/>
  <c r="G835" i="1" s="1"/>
  <c r="F836" i="1" s="1" a="1"/>
  <c r="F836" i="1" s="1"/>
  <c r="H834" i="1" l="1"/>
  <c r="I834" i="1" a="1"/>
  <c r="I834" i="1" s="1"/>
  <c r="E835" i="1" a="1"/>
  <c r="E835" i="1" s="1"/>
  <c r="G836" i="1" a="1"/>
  <c r="G836" i="1" s="1"/>
  <c r="F837" i="1" s="1" a="1"/>
  <c r="F837" i="1" s="1"/>
  <c r="H835" i="1" l="1"/>
  <c r="I835" i="1" a="1"/>
  <c r="I835" i="1" s="1"/>
  <c r="E836" i="1" a="1"/>
  <c r="E836" i="1" s="1"/>
  <c r="G837" i="1" a="1"/>
  <c r="G837" i="1" s="1"/>
  <c r="E837" i="1" s="1" a="1"/>
  <c r="E837" i="1" s="1"/>
  <c r="I837" i="1" s="1" a="1"/>
  <c r="I837" i="1" s="1"/>
  <c r="H836" i="1" l="1"/>
  <c r="H837" i="1" s="1"/>
  <c r="I836" i="1" a="1"/>
  <c r="I836" i="1" s="1"/>
  <c r="F838" i="1" a="1"/>
  <c r="F838" i="1" s="1"/>
  <c r="G838" i="1" l="1" a="1"/>
  <c r="G838" i="1" s="1"/>
  <c r="E838" i="1" l="1" a="1"/>
  <c r="E838" i="1" s="1"/>
  <c r="F839" i="1" a="1"/>
  <c r="F839" i="1" s="1"/>
  <c r="H838" i="1" l="1"/>
  <c r="I838" i="1" a="1"/>
  <c r="I838" i="1" s="1"/>
  <c r="G839" i="1" a="1"/>
  <c r="G839" i="1" s="1"/>
  <c r="F840" i="1" s="1" a="1"/>
  <c r="F840" i="1" s="1"/>
  <c r="E839" i="1" l="1" a="1"/>
  <c r="E839" i="1" s="1"/>
  <c r="G840" i="1" a="1"/>
  <c r="G840" i="1" s="1"/>
  <c r="F841" i="1" s="1" a="1"/>
  <c r="F841" i="1" s="1"/>
  <c r="H839" i="1" l="1"/>
  <c r="I839" i="1" a="1"/>
  <c r="I839" i="1" s="1"/>
  <c r="E840" i="1" a="1"/>
  <c r="E840" i="1" s="1"/>
  <c r="G841" i="1" a="1"/>
  <c r="G841" i="1" s="1"/>
  <c r="F842" i="1" s="1" a="1"/>
  <c r="F842" i="1" s="1"/>
  <c r="H840" i="1" l="1"/>
  <c r="I840" i="1" a="1"/>
  <c r="I840" i="1" s="1"/>
  <c r="E841" i="1" a="1"/>
  <c r="E841" i="1" s="1"/>
  <c r="G842" i="1" a="1"/>
  <c r="G842" i="1" s="1"/>
  <c r="E842" i="1" s="1" a="1"/>
  <c r="E842" i="1" s="1"/>
  <c r="I842" i="1" s="1" a="1"/>
  <c r="I842" i="1" s="1"/>
  <c r="H841" i="1" l="1"/>
  <c r="H842" i="1" s="1"/>
  <c r="I841" i="1" a="1"/>
  <c r="I841" i="1" s="1"/>
  <c r="F843" i="1" a="1"/>
  <c r="F843" i="1" s="1"/>
  <c r="G843" i="1" l="1" a="1"/>
  <c r="G843" i="1" s="1"/>
  <c r="E843" i="1" l="1" a="1"/>
  <c r="E843" i="1" s="1"/>
  <c r="F844" i="1" a="1"/>
  <c r="F844" i="1" s="1"/>
  <c r="H843" i="1" l="1"/>
  <c r="I843" i="1" a="1"/>
  <c r="I843" i="1" s="1"/>
  <c r="G844" i="1" a="1"/>
  <c r="G844" i="1" s="1"/>
  <c r="E844" i="1" l="1" a="1"/>
  <c r="E844" i="1" s="1"/>
  <c r="F845" i="1" a="1"/>
  <c r="F845" i="1" s="1"/>
  <c r="H844" i="1" l="1"/>
  <c r="I844" i="1" a="1"/>
  <c r="I844" i="1" s="1"/>
  <c r="G845" i="1" a="1"/>
  <c r="G845" i="1" s="1"/>
  <c r="F846" i="1" s="1" a="1"/>
  <c r="F846" i="1" s="1"/>
  <c r="E845" i="1" l="1" a="1"/>
  <c r="E845" i="1" s="1"/>
  <c r="G846" i="1" a="1"/>
  <c r="G846" i="1" s="1"/>
  <c r="F847" i="1" s="1" a="1"/>
  <c r="F847" i="1" s="1"/>
  <c r="H845" i="1" l="1"/>
  <c r="I845" i="1" a="1"/>
  <c r="I845" i="1" s="1"/>
  <c r="E846" i="1" a="1"/>
  <c r="E846" i="1" s="1"/>
  <c r="G847" i="1" a="1"/>
  <c r="G847" i="1" s="1"/>
  <c r="F848" i="1" s="1" a="1"/>
  <c r="F848" i="1" s="1"/>
  <c r="H846" i="1" l="1"/>
  <c r="I846" i="1" a="1"/>
  <c r="I846" i="1" s="1"/>
  <c r="E847" i="1" a="1"/>
  <c r="E847" i="1" s="1"/>
  <c r="G848" i="1" a="1"/>
  <c r="G848" i="1" s="1"/>
  <c r="E848" i="1" s="1" a="1"/>
  <c r="E848" i="1" s="1"/>
  <c r="I848" i="1" s="1" a="1"/>
  <c r="I848" i="1" s="1"/>
  <c r="H847" i="1" l="1"/>
  <c r="H848" i="1" s="1"/>
  <c r="I847" i="1" a="1"/>
  <c r="I847" i="1" s="1"/>
  <c r="F849" i="1" a="1"/>
  <c r="F849" i="1" s="1"/>
  <c r="G849" i="1" l="1" a="1"/>
  <c r="G849" i="1" s="1"/>
  <c r="E849" i="1" l="1" a="1"/>
  <c r="E849" i="1" s="1"/>
  <c r="F850" i="1" a="1"/>
  <c r="F850" i="1" s="1"/>
  <c r="H849" i="1" l="1"/>
  <c r="I849" i="1" a="1"/>
  <c r="I849" i="1" s="1"/>
  <c r="G850" i="1" a="1"/>
  <c r="G850" i="1" s="1"/>
  <c r="E850" i="1" l="1" a="1"/>
  <c r="E850" i="1" s="1"/>
  <c r="F851" i="1" a="1"/>
  <c r="F851" i="1" s="1"/>
  <c r="H850" i="1" l="1"/>
  <c r="I850" i="1" a="1"/>
  <c r="I850" i="1" s="1"/>
  <c r="G851" i="1" a="1"/>
  <c r="G851" i="1" s="1"/>
  <c r="F852" i="1" s="1" a="1"/>
  <c r="F852" i="1" s="1"/>
  <c r="E851" i="1" l="1" a="1"/>
  <c r="E851" i="1" s="1"/>
  <c r="G852" i="1" a="1"/>
  <c r="G852" i="1" s="1"/>
  <c r="F853" i="1" s="1" a="1"/>
  <c r="F853" i="1" s="1"/>
  <c r="H851" i="1" l="1"/>
  <c r="I851" i="1" a="1"/>
  <c r="I851" i="1" s="1"/>
  <c r="E852" i="1" a="1"/>
  <c r="E852" i="1" s="1"/>
  <c r="G853" i="1" a="1"/>
  <c r="G853" i="1" s="1"/>
  <c r="F854" i="1" s="1" a="1"/>
  <c r="F854" i="1" s="1"/>
  <c r="H852" i="1" l="1"/>
  <c r="I852" i="1" a="1"/>
  <c r="I852" i="1" s="1"/>
  <c r="E853" i="1" a="1"/>
  <c r="E853" i="1" s="1"/>
  <c r="G854" i="1" a="1"/>
  <c r="G854" i="1" s="1"/>
  <c r="F855" i="1" s="1" a="1"/>
  <c r="F855" i="1" s="1"/>
  <c r="H853" i="1" l="1"/>
  <c r="I853" i="1" a="1"/>
  <c r="I853" i="1" s="1"/>
  <c r="E854" i="1" a="1"/>
  <c r="E854" i="1" s="1"/>
  <c r="G855" i="1" a="1"/>
  <c r="G855" i="1" s="1"/>
  <c r="E855" i="1" s="1" a="1"/>
  <c r="E855" i="1" s="1"/>
  <c r="I855" i="1" s="1" a="1"/>
  <c r="I855" i="1" s="1"/>
  <c r="H854" i="1" l="1"/>
  <c r="H855" i="1" s="1"/>
  <c r="I854" i="1" a="1"/>
  <c r="I854" i="1" s="1"/>
  <c r="F856" i="1" a="1"/>
  <c r="F856" i="1" s="1"/>
  <c r="G856" i="1" l="1" a="1"/>
  <c r="G856" i="1" s="1"/>
  <c r="E856" i="1" s="1" a="1"/>
  <c r="E856" i="1" s="1"/>
  <c r="I856" i="1" s="1" a="1"/>
  <c r="I856" i="1" s="1"/>
  <c r="H856" i="1" l="1"/>
  <c r="F857" i="1" a="1"/>
  <c r="F857" i="1" s="1"/>
  <c r="G857" i="1" l="1" a="1"/>
  <c r="G857" i="1" s="1"/>
  <c r="F858" i="1" s="1" a="1"/>
  <c r="F858" i="1" s="1"/>
  <c r="E857" i="1" l="1" a="1"/>
  <c r="E857" i="1" s="1"/>
  <c r="G858" i="1" a="1"/>
  <c r="G858" i="1" s="1"/>
  <c r="F859" i="1" s="1" a="1"/>
  <c r="F859" i="1" s="1"/>
  <c r="H857" i="1" l="1"/>
  <c r="I857" i="1" a="1"/>
  <c r="I857" i="1" s="1"/>
  <c r="E858" i="1" a="1"/>
  <c r="E858" i="1" s="1"/>
  <c r="G859" i="1" a="1"/>
  <c r="G859" i="1" s="1"/>
  <c r="F860" i="1" s="1" a="1"/>
  <c r="F860" i="1" s="1"/>
  <c r="H858" i="1" l="1"/>
  <c r="I858" i="1" a="1"/>
  <c r="I858" i="1" s="1"/>
  <c r="E859" i="1" a="1"/>
  <c r="E859" i="1" s="1"/>
  <c r="G860" i="1" a="1"/>
  <c r="G860" i="1" s="1"/>
  <c r="F861" i="1" s="1" a="1"/>
  <c r="F861" i="1" s="1"/>
  <c r="H859" i="1" l="1"/>
  <c r="I859" i="1" a="1"/>
  <c r="I859" i="1" s="1"/>
  <c r="E860" i="1" a="1"/>
  <c r="E860" i="1" s="1"/>
  <c r="G861" i="1" a="1"/>
  <c r="G861" i="1" s="1"/>
  <c r="F862" i="1" s="1" a="1"/>
  <c r="F862" i="1" s="1"/>
  <c r="H860" i="1" l="1"/>
  <c r="I860" i="1" a="1"/>
  <c r="I860" i="1" s="1"/>
  <c r="E861" i="1" a="1"/>
  <c r="E861" i="1" s="1"/>
  <c r="G862" i="1" a="1"/>
  <c r="G862" i="1" s="1"/>
  <c r="F863" i="1" s="1" a="1"/>
  <c r="F863" i="1" s="1"/>
  <c r="H861" i="1" l="1"/>
  <c r="I861" i="1" a="1"/>
  <c r="I861" i="1" s="1"/>
  <c r="E862" i="1" a="1"/>
  <c r="E862" i="1" s="1"/>
  <c r="G863" i="1" a="1"/>
  <c r="G863" i="1" s="1"/>
  <c r="E863" i="1" s="1" a="1"/>
  <c r="E863" i="1" s="1"/>
  <c r="I863" i="1" s="1" a="1"/>
  <c r="I863" i="1" s="1"/>
  <c r="H862" i="1" l="1"/>
  <c r="H863" i="1" s="1"/>
  <c r="I862" i="1" a="1"/>
  <c r="I862" i="1" s="1"/>
  <c r="F864" i="1" a="1"/>
  <c r="F864" i="1" s="1"/>
  <c r="G864" i="1" l="1" a="1"/>
  <c r="G864" i="1" s="1"/>
  <c r="F865" i="1" s="1" a="1"/>
  <c r="F865" i="1" s="1"/>
  <c r="E864" i="1" l="1" a="1"/>
  <c r="E864" i="1" s="1"/>
  <c r="G865" i="1" a="1"/>
  <c r="G865" i="1" s="1"/>
  <c r="F866" i="1" s="1" a="1"/>
  <c r="F866" i="1" s="1"/>
  <c r="H864" i="1" l="1"/>
  <c r="I864" i="1" a="1"/>
  <c r="I864" i="1" s="1"/>
  <c r="E865" i="1" a="1"/>
  <c r="E865" i="1" s="1"/>
  <c r="G866" i="1" a="1"/>
  <c r="G866" i="1" s="1"/>
  <c r="F867" i="1" s="1" a="1"/>
  <c r="F867" i="1" s="1"/>
  <c r="H865" i="1" l="1"/>
  <c r="I865" i="1" a="1"/>
  <c r="I865" i="1" s="1"/>
  <c r="E866" i="1" a="1"/>
  <c r="E866" i="1" s="1"/>
  <c r="G867" i="1" a="1"/>
  <c r="G867" i="1" s="1"/>
  <c r="E867" i="1" s="1" a="1"/>
  <c r="E867" i="1" s="1"/>
  <c r="I867" i="1" s="1" a="1"/>
  <c r="I867" i="1" s="1"/>
  <c r="H866" i="1" l="1"/>
  <c r="H867" i="1" s="1"/>
  <c r="I866" i="1" a="1"/>
  <c r="I866" i="1" s="1"/>
  <c r="F868" i="1" a="1"/>
  <c r="F868" i="1" s="1"/>
  <c r="G868" i="1" l="1" a="1"/>
  <c r="G868" i="1" s="1"/>
  <c r="E868" i="1" l="1" a="1"/>
  <c r="E868" i="1" s="1"/>
  <c r="F869" i="1" a="1"/>
  <c r="F869" i="1" s="1"/>
  <c r="H868" i="1" l="1"/>
  <c r="I868" i="1" a="1"/>
  <c r="I868" i="1" s="1"/>
  <c r="G869" i="1" a="1"/>
  <c r="G869" i="1" s="1"/>
  <c r="E869" i="1" l="1" a="1"/>
  <c r="E869" i="1" s="1"/>
  <c r="F870" i="1" a="1"/>
  <c r="F870" i="1" s="1"/>
  <c r="H869" i="1" l="1"/>
  <c r="I869" i="1" a="1"/>
  <c r="I869" i="1" s="1"/>
  <c r="G870" i="1" a="1"/>
  <c r="G870" i="1" s="1"/>
  <c r="F871" i="1" s="1" a="1"/>
  <c r="F871" i="1" s="1"/>
  <c r="E870" i="1" l="1" a="1"/>
  <c r="E870" i="1" s="1"/>
  <c r="G871" i="1" a="1"/>
  <c r="G871" i="1" s="1"/>
  <c r="F872" i="1" s="1" a="1"/>
  <c r="F872" i="1" s="1"/>
  <c r="H870" i="1" l="1"/>
  <c r="I870" i="1" a="1"/>
  <c r="I870" i="1" s="1"/>
  <c r="E871" i="1" a="1"/>
  <c r="E871" i="1" s="1"/>
  <c r="G872" i="1" a="1"/>
  <c r="G872" i="1" s="1"/>
  <c r="F873" i="1" s="1" a="1"/>
  <c r="F873" i="1" s="1"/>
  <c r="H871" i="1" l="1"/>
  <c r="I871" i="1" a="1"/>
  <c r="I871" i="1" s="1"/>
  <c r="E872" i="1" a="1"/>
  <c r="E872" i="1" s="1"/>
  <c r="G873" i="1" a="1"/>
  <c r="G873" i="1" s="1"/>
  <c r="F874" i="1" s="1" a="1"/>
  <c r="F874" i="1" s="1"/>
  <c r="H872" i="1" l="1"/>
  <c r="I872" i="1" a="1"/>
  <c r="I872" i="1" s="1"/>
  <c r="E873" i="1" a="1"/>
  <c r="E873" i="1" s="1"/>
  <c r="G874" i="1" a="1"/>
  <c r="G874" i="1" s="1"/>
  <c r="F875" i="1" s="1" a="1"/>
  <c r="F875" i="1" s="1"/>
  <c r="H873" i="1" l="1"/>
  <c r="I873" i="1" a="1"/>
  <c r="I873" i="1" s="1"/>
  <c r="E874" i="1" a="1"/>
  <c r="E874" i="1" s="1"/>
  <c r="G875" i="1" a="1"/>
  <c r="G875" i="1" s="1"/>
  <c r="E875" i="1" s="1" a="1"/>
  <c r="E875" i="1" s="1"/>
  <c r="I875" i="1" s="1" a="1"/>
  <c r="I875" i="1" s="1"/>
  <c r="H874" i="1" l="1"/>
  <c r="H875" i="1" s="1"/>
  <c r="I874" i="1" a="1"/>
  <c r="I874" i="1" s="1"/>
  <c r="F876" i="1" a="1"/>
  <c r="F876" i="1" s="1"/>
  <c r="G876" i="1" l="1" a="1"/>
  <c r="G876" i="1" s="1"/>
  <c r="F877" i="1" s="1" a="1"/>
  <c r="F877" i="1" s="1"/>
  <c r="E876" i="1" l="1" a="1"/>
  <c r="E876" i="1" s="1"/>
  <c r="G877" i="1" a="1"/>
  <c r="G877" i="1" s="1"/>
  <c r="F878" i="1" s="1" a="1"/>
  <c r="F878" i="1" s="1"/>
  <c r="H876" i="1" l="1"/>
  <c r="I876" i="1" a="1"/>
  <c r="I876" i="1" s="1"/>
  <c r="E877" i="1" a="1"/>
  <c r="E877" i="1" s="1"/>
  <c r="G878" i="1" a="1"/>
  <c r="G878" i="1" s="1"/>
  <c r="F879" i="1" s="1" a="1"/>
  <c r="F879" i="1" s="1"/>
  <c r="H877" i="1" l="1"/>
  <c r="I877" i="1" a="1"/>
  <c r="I877" i="1" s="1"/>
  <c r="E878" i="1" a="1"/>
  <c r="E878" i="1" s="1"/>
  <c r="G879" i="1" a="1"/>
  <c r="G879" i="1" s="1"/>
  <c r="E879" i="1" s="1" a="1"/>
  <c r="E879" i="1" s="1"/>
  <c r="I879" i="1" s="1" a="1"/>
  <c r="I879" i="1" s="1"/>
  <c r="H878" i="1" l="1"/>
  <c r="H879" i="1" s="1"/>
  <c r="I878" i="1" a="1"/>
  <c r="I878" i="1" s="1"/>
  <c r="F880" i="1" a="1"/>
  <c r="F880" i="1" s="1"/>
  <c r="G880" i="1" l="1" a="1"/>
  <c r="G880" i="1" s="1"/>
  <c r="E880" i="1" l="1" a="1"/>
  <c r="E880" i="1" s="1"/>
  <c r="F881" i="1" a="1"/>
  <c r="F881" i="1" s="1"/>
  <c r="H880" i="1" l="1"/>
  <c r="I880" i="1" a="1"/>
  <c r="I880" i="1" s="1"/>
  <c r="G881" i="1" a="1"/>
  <c r="G881" i="1" s="1"/>
  <c r="E881" i="1" l="1" a="1"/>
  <c r="E881" i="1" s="1"/>
  <c r="F882" i="1" a="1"/>
  <c r="F882" i="1" s="1"/>
  <c r="H881" i="1" l="1"/>
  <c r="I881" i="1" a="1"/>
  <c r="I881" i="1" s="1"/>
  <c r="G882" i="1" a="1"/>
  <c r="G882" i="1" s="1"/>
  <c r="F883" i="1" s="1" a="1"/>
  <c r="F883" i="1" s="1"/>
  <c r="E882" i="1" l="1" a="1"/>
  <c r="E882" i="1" s="1"/>
  <c r="G883" i="1" a="1"/>
  <c r="G883" i="1" s="1"/>
  <c r="F884" i="1" s="1" a="1"/>
  <c r="F884" i="1" s="1"/>
  <c r="H882" i="1" l="1"/>
  <c r="I882" i="1" a="1"/>
  <c r="I882" i="1" s="1"/>
  <c r="E883" i="1" a="1"/>
  <c r="E883" i="1" s="1"/>
  <c r="G884" i="1" a="1"/>
  <c r="G884" i="1" s="1"/>
  <c r="F885" i="1" s="1" a="1"/>
  <c r="F885" i="1" s="1"/>
  <c r="H883" i="1" l="1"/>
  <c r="I883" i="1" a="1"/>
  <c r="I883" i="1" s="1"/>
  <c r="E884" i="1" a="1"/>
  <c r="E884" i="1" s="1"/>
  <c r="G885" i="1" a="1"/>
  <c r="G885" i="1" s="1"/>
  <c r="F886" i="1" s="1" a="1"/>
  <c r="F886" i="1" s="1"/>
  <c r="H884" i="1" l="1"/>
  <c r="I884" i="1" a="1"/>
  <c r="I884" i="1" s="1"/>
  <c r="E885" i="1" a="1"/>
  <c r="E885" i="1" s="1"/>
  <c r="G886" i="1" a="1"/>
  <c r="G886" i="1" s="1"/>
  <c r="F887" i="1" s="1" a="1"/>
  <c r="F887" i="1" s="1"/>
  <c r="H885" i="1" l="1"/>
  <c r="I885" i="1" a="1"/>
  <c r="I885" i="1" s="1"/>
  <c r="E886" i="1" a="1"/>
  <c r="E886" i="1" s="1"/>
  <c r="G887" i="1" a="1"/>
  <c r="G887" i="1" s="1"/>
  <c r="E887" i="1" s="1" a="1"/>
  <c r="E887" i="1" s="1"/>
  <c r="I887" i="1" s="1" a="1"/>
  <c r="I887" i="1" s="1"/>
  <c r="H886" i="1" l="1"/>
  <c r="H887" i="1" s="1"/>
  <c r="I886" i="1" a="1"/>
  <c r="I886" i="1" s="1"/>
  <c r="F888" i="1" a="1"/>
  <c r="F888" i="1" s="1"/>
  <c r="G888" i="1" l="1" a="1"/>
  <c r="G888" i="1" s="1"/>
  <c r="F889" i="1" s="1" a="1"/>
  <c r="F889" i="1" s="1"/>
  <c r="E888" i="1" l="1" a="1"/>
  <c r="E888" i="1" s="1"/>
  <c r="G889" i="1" a="1"/>
  <c r="G889" i="1" s="1"/>
  <c r="F890" i="1" s="1" a="1"/>
  <c r="F890" i="1" s="1"/>
  <c r="H888" i="1" l="1"/>
  <c r="I888" i="1" a="1"/>
  <c r="I888" i="1" s="1"/>
  <c r="E889" i="1" a="1"/>
  <c r="E889" i="1" s="1"/>
  <c r="G890" i="1" a="1"/>
  <c r="G890" i="1" s="1"/>
  <c r="F891" i="1" s="1" a="1"/>
  <c r="F891" i="1" s="1"/>
  <c r="H889" i="1" l="1"/>
  <c r="I889" i="1" a="1"/>
  <c r="I889" i="1" s="1"/>
  <c r="E890" i="1" a="1"/>
  <c r="E890" i="1" s="1"/>
  <c r="G891" i="1" a="1"/>
  <c r="G891" i="1" s="1"/>
  <c r="E891" i="1" s="1" a="1"/>
  <c r="E891" i="1" s="1"/>
  <c r="I891" i="1" s="1" a="1"/>
  <c r="I891" i="1" s="1"/>
  <c r="H890" i="1" l="1"/>
  <c r="H891" i="1" s="1"/>
  <c r="I890" i="1" a="1"/>
  <c r="I890" i="1" s="1"/>
  <c r="F892" i="1" a="1"/>
  <c r="F892" i="1" s="1"/>
  <c r="G892" i="1" l="1" a="1"/>
  <c r="G892" i="1" s="1"/>
  <c r="E892" i="1" l="1" a="1"/>
  <c r="E892" i="1" s="1"/>
  <c r="F893" i="1" a="1"/>
  <c r="F893" i="1" s="1"/>
  <c r="H892" i="1" l="1"/>
  <c r="I892" i="1" a="1"/>
  <c r="I892" i="1" s="1"/>
  <c r="G893" i="1" a="1"/>
  <c r="G893" i="1" s="1"/>
  <c r="E893" i="1" l="1" a="1"/>
  <c r="E893" i="1" s="1"/>
  <c r="F894" i="1" a="1"/>
  <c r="F894" i="1" s="1"/>
  <c r="H893" i="1" l="1"/>
  <c r="I893" i="1" a="1"/>
  <c r="I893" i="1" s="1"/>
  <c r="G894" i="1" a="1"/>
  <c r="G894" i="1" s="1"/>
  <c r="F895" i="1" s="1" a="1"/>
  <c r="F895" i="1" s="1"/>
  <c r="E894" i="1" l="1" a="1"/>
  <c r="E894" i="1" s="1"/>
  <c r="G895" i="1" a="1"/>
  <c r="G895" i="1" s="1"/>
  <c r="F896" i="1" s="1" a="1"/>
  <c r="F896" i="1" s="1"/>
  <c r="H894" i="1" l="1"/>
  <c r="I894" i="1" a="1"/>
  <c r="I894" i="1" s="1"/>
  <c r="E895" i="1" a="1"/>
  <c r="E895" i="1" s="1"/>
  <c r="G896" i="1" a="1"/>
  <c r="G896" i="1" s="1"/>
  <c r="F897" i="1" s="1" a="1"/>
  <c r="F897" i="1" s="1"/>
  <c r="H895" i="1" l="1"/>
  <c r="I895" i="1" a="1"/>
  <c r="I895" i="1" s="1"/>
  <c r="E896" i="1" a="1"/>
  <c r="E896" i="1" s="1"/>
  <c r="G897" i="1" a="1"/>
  <c r="G897" i="1" s="1"/>
  <c r="F898" i="1" s="1" a="1"/>
  <c r="F898" i="1" s="1"/>
  <c r="H896" i="1" l="1"/>
  <c r="I896" i="1" a="1"/>
  <c r="I896" i="1" s="1"/>
  <c r="E897" i="1" a="1"/>
  <c r="E897" i="1" s="1"/>
  <c r="G898" i="1" a="1"/>
  <c r="G898" i="1" s="1"/>
  <c r="F899" i="1" s="1" a="1"/>
  <c r="F899" i="1" s="1"/>
  <c r="H897" i="1" l="1"/>
  <c r="I897" i="1" a="1"/>
  <c r="I897" i="1" s="1"/>
  <c r="E898" i="1" a="1"/>
  <c r="E898" i="1" s="1"/>
  <c r="G899" i="1" a="1"/>
  <c r="G899" i="1" s="1"/>
  <c r="E899" i="1" s="1" a="1"/>
  <c r="E899" i="1" s="1"/>
  <c r="I899" i="1" s="1" a="1"/>
  <c r="I899" i="1" s="1"/>
  <c r="H898" i="1" l="1"/>
  <c r="H899" i="1" s="1"/>
  <c r="I898" i="1" a="1"/>
  <c r="I898" i="1" s="1"/>
  <c r="F900" i="1" a="1"/>
  <c r="F900" i="1" s="1"/>
  <c r="G900" i="1" l="1" a="1"/>
  <c r="G900" i="1" s="1"/>
  <c r="F901" i="1" s="1" a="1"/>
  <c r="F901" i="1" s="1"/>
  <c r="E900" i="1" l="1" a="1"/>
  <c r="E900" i="1" s="1"/>
  <c r="G901" i="1" a="1"/>
  <c r="G901" i="1" s="1"/>
  <c r="F902" i="1" s="1" a="1"/>
  <c r="F902" i="1" s="1"/>
  <c r="H900" i="1" l="1"/>
  <c r="I900" i="1" a="1"/>
  <c r="I900" i="1" s="1"/>
  <c r="E901" i="1" a="1"/>
  <c r="E901" i="1" s="1"/>
  <c r="G902" i="1" a="1"/>
  <c r="G902" i="1" s="1"/>
  <c r="F903" i="1" s="1" a="1"/>
  <c r="F903" i="1" s="1"/>
  <c r="H901" i="1" l="1"/>
  <c r="I901" i="1" a="1"/>
  <c r="I901" i="1" s="1"/>
  <c r="E902" i="1" a="1"/>
  <c r="E902" i="1" s="1"/>
  <c r="G903" i="1" a="1"/>
  <c r="G903" i="1" s="1"/>
  <c r="E903" i="1" s="1" a="1"/>
  <c r="E903" i="1" s="1"/>
  <c r="I903" i="1" s="1" a="1"/>
  <c r="I903" i="1" s="1"/>
  <c r="H902" i="1" l="1"/>
  <c r="H903" i="1" s="1"/>
  <c r="I902" i="1" a="1"/>
  <c r="I902" i="1" s="1"/>
  <c r="F904" i="1" a="1"/>
  <c r="F904" i="1" s="1"/>
  <c r="G904" i="1" l="1" a="1"/>
  <c r="G904" i="1" s="1"/>
  <c r="E904" i="1" l="1" a="1"/>
  <c r="E904" i="1" s="1"/>
  <c r="F905" i="1" a="1"/>
  <c r="F905" i="1" s="1"/>
  <c r="H904" i="1" l="1"/>
  <c r="I904" i="1" a="1"/>
  <c r="I904" i="1" s="1"/>
  <c r="G905" i="1" a="1"/>
  <c r="G905" i="1" s="1"/>
  <c r="E905" i="1" l="1" a="1"/>
  <c r="E905" i="1" s="1"/>
  <c r="F906" i="1" a="1"/>
  <c r="F906" i="1" s="1"/>
  <c r="H905" i="1" l="1"/>
  <c r="I905" i="1" a="1"/>
  <c r="I905" i="1" s="1"/>
  <c r="G906" i="1" a="1"/>
  <c r="G906" i="1" s="1"/>
  <c r="F907" i="1" s="1" a="1"/>
  <c r="F907" i="1" s="1"/>
  <c r="E906" i="1" l="1" a="1"/>
  <c r="E906" i="1" s="1"/>
  <c r="G907" i="1" a="1"/>
  <c r="G907" i="1" s="1"/>
  <c r="F908" i="1" s="1" a="1"/>
  <c r="F908" i="1" s="1"/>
  <c r="H906" i="1" l="1"/>
  <c r="I906" i="1" a="1"/>
  <c r="I906" i="1" s="1"/>
  <c r="E907" i="1" a="1"/>
  <c r="E907" i="1" s="1"/>
  <c r="G908" i="1" a="1"/>
  <c r="G908" i="1" s="1"/>
  <c r="F909" i="1" s="1" a="1"/>
  <c r="F909" i="1" s="1"/>
  <c r="H907" i="1" l="1"/>
  <c r="I907" i="1" a="1"/>
  <c r="I907" i="1" s="1"/>
  <c r="E908" i="1" a="1"/>
  <c r="E908" i="1" s="1"/>
  <c r="G909" i="1" a="1"/>
  <c r="G909" i="1" s="1"/>
  <c r="F910" i="1" s="1" a="1"/>
  <c r="F910" i="1" s="1"/>
  <c r="H908" i="1" l="1"/>
  <c r="I908" i="1" a="1"/>
  <c r="I908" i="1" s="1"/>
  <c r="E909" i="1" a="1"/>
  <c r="E909" i="1" s="1"/>
  <c r="G910" i="1" a="1"/>
  <c r="G910" i="1" s="1"/>
  <c r="F911" i="1" s="1" a="1"/>
  <c r="F911" i="1" s="1"/>
  <c r="H909" i="1" l="1"/>
  <c r="I909" i="1" a="1"/>
  <c r="I909" i="1" s="1"/>
  <c r="E910" i="1" a="1"/>
  <c r="E910" i="1" s="1"/>
  <c r="G911" i="1" a="1"/>
  <c r="G911" i="1" s="1"/>
  <c r="E911" i="1" s="1" a="1"/>
  <c r="E911" i="1" s="1"/>
  <c r="I911" i="1" s="1" a="1"/>
  <c r="I911" i="1" s="1"/>
  <c r="H910" i="1" l="1"/>
  <c r="H911" i="1" s="1"/>
  <c r="I910" i="1" a="1"/>
  <c r="I910" i="1" s="1"/>
  <c r="F912" i="1" a="1"/>
  <c r="F912" i="1" s="1"/>
  <c r="G912" i="1" l="1" a="1"/>
  <c r="G912" i="1" s="1"/>
  <c r="F913" i="1" s="1" a="1"/>
  <c r="F913" i="1" s="1"/>
  <c r="E912" i="1" l="1" a="1"/>
  <c r="E912" i="1" s="1"/>
  <c r="G913" i="1" a="1"/>
  <c r="G913" i="1" s="1"/>
  <c r="F914" i="1" s="1" a="1"/>
  <c r="F914" i="1" s="1"/>
  <c r="H912" i="1" l="1"/>
  <c r="I912" i="1" a="1"/>
  <c r="I912" i="1" s="1"/>
  <c r="E913" i="1" a="1"/>
  <c r="E913" i="1" s="1"/>
  <c r="G914" i="1" a="1"/>
  <c r="G914" i="1" s="1"/>
  <c r="F915" i="1" s="1" a="1"/>
  <c r="F915" i="1" s="1"/>
  <c r="H913" i="1" l="1"/>
  <c r="I913" i="1" a="1"/>
  <c r="I913" i="1" s="1"/>
  <c r="E914" i="1" a="1"/>
  <c r="E914" i="1" s="1"/>
  <c r="G915" i="1" a="1"/>
  <c r="G915" i="1" s="1"/>
  <c r="E915" i="1" s="1" a="1"/>
  <c r="E915" i="1" s="1"/>
  <c r="I915" i="1" s="1" a="1"/>
  <c r="I915" i="1" s="1"/>
  <c r="H914" i="1" l="1"/>
  <c r="H915" i="1" s="1"/>
  <c r="I914" i="1" a="1"/>
  <c r="I914" i="1" s="1"/>
  <c r="F916" i="1" a="1"/>
  <c r="F916" i="1" s="1"/>
  <c r="G916" i="1" l="1" a="1"/>
  <c r="G916" i="1" s="1"/>
  <c r="F917" i="1" s="1" a="1"/>
  <c r="F917" i="1" s="1"/>
  <c r="E916" i="1" l="1" a="1"/>
  <c r="E916" i="1" s="1"/>
  <c r="G917" i="1" a="1"/>
  <c r="G917" i="1" s="1"/>
  <c r="E917" i="1" s="1" a="1"/>
  <c r="E917" i="1" s="1"/>
  <c r="I917" i="1" s="1" a="1"/>
  <c r="I917" i="1" s="1"/>
  <c r="H916" i="1" l="1"/>
  <c r="H917" i="1" s="1"/>
  <c r="I916" i="1" a="1"/>
  <c r="I916" i="1" s="1"/>
  <c r="F918" i="1" a="1"/>
  <c r="F918" i="1" s="1"/>
  <c r="G918" i="1" l="1" a="1"/>
  <c r="G918" i="1" s="1"/>
  <c r="F919" i="1" s="1" a="1"/>
  <c r="F919" i="1" s="1"/>
  <c r="E918" i="1" l="1" a="1"/>
  <c r="E918" i="1" s="1"/>
  <c r="G919" i="1" a="1"/>
  <c r="G919" i="1" s="1"/>
  <c r="E919" i="1" s="1" a="1"/>
  <c r="E919" i="1" s="1"/>
  <c r="I919" i="1" s="1" a="1"/>
  <c r="I919" i="1" s="1"/>
  <c r="H918" i="1" l="1"/>
  <c r="H919" i="1" s="1"/>
  <c r="I918" i="1" a="1"/>
  <c r="I918" i="1" s="1"/>
  <c r="F920" i="1" a="1"/>
  <c r="F920" i="1" s="1"/>
  <c r="G920" i="1" l="1" a="1"/>
  <c r="G920" i="1" s="1"/>
  <c r="F921" i="1" s="1" a="1"/>
  <c r="F921" i="1" s="1"/>
  <c r="E920" i="1" l="1" a="1"/>
  <c r="E920" i="1" s="1"/>
  <c r="G921" i="1" a="1"/>
  <c r="G921" i="1" s="1"/>
  <c r="E921" i="1" s="1" a="1"/>
  <c r="E921" i="1" s="1"/>
  <c r="I921" i="1" s="1" a="1"/>
  <c r="I921" i="1" s="1"/>
  <c r="H920" i="1" l="1"/>
  <c r="H921" i="1" s="1"/>
  <c r="I920" i="1" a="1"/>
  <c r="I920" i="1" s="1"/>
  <c r="F922" i="1" a="1"/>
  <c r="F922" i="1" s="1"/>
  <c r="G922" i="1" l="1" a="1"/>
  <c r="G922" i="1" s="1"/>
  <c r="F923" i="1" s="1" a="1"/>
  <c r="F923" i="1" s="1"/>
  <c r="E922" i="1" l="1" a="1"/>
  <c r="E922" i="1" s="1"/>
  <c r="G923" i="1" a="1"/>
  <c r="G923" i="1" s="1"/>
  <c r="E923" i="1" s="1" a="1"/>
  <c r="E923" i="1" s="1"/>
  <c r="I923" i="1" s="1" a="1"/>
  <c r="I923" i="1" s="1"/>
  <c r="H922" i="1" l="1"/>
  <c r="H923" i="1" s="1"/>
  <c r="I922" i="1" a="1"/>
  <c r="I922" i="1" s="1"/>
  <c r="F924" i="1" a="1"/>
  <c r="F924" i="1" s="1"/>
  <c r="G924" i="1" l="1" a="1"/>
  <c r="G924" i="1" s="1"/>
  <c r="F925" i="1" s="1" a="1"/>
  <c r="F925" i="1" s="1"/>
  <c r="E924" i="1" l="1" a="1"/>
  <c r="E924" i="1" s="1"/>
  <c r="G925" i="1" a="1"/>
  <c r="G925" i="1" s="1"/>
  <c r="E925" i="1" s="1" a="1"/>
  <c r="E925" i="1" s="1"/>
  <c r="I925" i="1" s="1" a="1"/>
  <c r="I925" i="1" s="1"/>
  <c r="H924" i="1" l="1"/>
  <c r="H925" i="1" s="1"/>
  <c r="I924" i="1" a="1"/>
  <c r="I924" i="1" s="1"/>
  <c r="F926" i="1" a="1"/>
  <c r="F926" i="1" s="1"/>
  <c r="G926" i="1" l="1" a="1"/>
  <c r="G926" i="1" s="1"/>
  <c r="F927" i="1" s="1" a="1"/>
  <c r="F927" i="1" s="1"/>
  <c r="E926" i="1" l="1" a="1"/>
  <c r="E926" i="1" s="1"/>
  <c r="G927" i="1" a="1"/>
  <c r="G927" i="1" s="1"/>
  <c r="E927" i="1" s="1" a="1"/>
  <c r="E927" i="1" s="1"/>
  <c r="I927" i="1" s="1" a="1"/>
  <c r="I927" i="1" s="1"/>
  <c r="H926" i="1" l="1"/>
  <c r="H927" i="1" s="1"/>
  <c r="I926" i="1" a="1"/>
  <c r="I926" i="1" s="1"/>
  <c r="F928" i="1" a="1"/>
  <c r="F928" i="1" s="1"/>
  <c r="G928" i="1" l="1" a="1"/>
  <c r="G928" i="1" s="1"/>
  <c r="F929" i="1" s="1" a="1"/>
  <c r="F929" i="1" s="1"/>
  <c r="E928" i="1" l="1" a="1"/>
  <c r="E928" i="1" s="1"/>
  <c r="G929" i="1" a="1"/>
  <c r="G929" i="1" s="1"/>
  <c r="E929" i="1" s="1" a="1"/>
  <c r="E929" i="1" s="1"/>
  <c r="I929" i="1" s="1" a="1"/>
  <c r="I929" i="1" s="1"/>
  <c r="H928" i="1" l="1"/>
  <c r="H929" i="1" s="1"/>
  <c r="I928" i="1" a="1"/>
  <c r="I928" i="1" s="1"/>
  <c r="F930" i="1" a="1"/>
  <c r="F930" i="1" s="1"/>
  <c r="G930" i="1" l="1" a="1"/>
  <c r="G930" i="1" s="1"/>
  <c r="F931" i="1" s="1" a="1"/>
  <c r="F931" i="1" s="1"/>
  <c r="E930" i="1" l="1" a="1"/>
  <c r="E930" i="1" s="1"/>
  <c r="G931" i="1" a="1"/>
  <c r="G931" i="1" s="1"/>
  <c r="E931" i="1" s="1" a="1"/>
  <c r="E931" i="1" s="1"/>
  <c r="I931" i="1" s="1" a="1"/>
  <c r="I931" i="1" s="1"/>
  <c r="H930" i="1" l="1"/>
  <c r="H931" i="1" s="1"/>
  <c r="I930" i="1" a="1"/>
  <c r="I930" i="1" s="1"/>
  <c r="F932" i="1" a="1"/>
  <c r="F932" i="1" s="1"/>
  <c r="G932" i="1" l="1" a="1"/>
  <c r="G932" i="1" s="1"/>
  <c r="F933" i="1" s="1" a="1"/>
  <c r="F933" i="1" s="1"/>
  <c r="E932" i="1" l="1" a="1"/>
  <c r="E932" i="1" s="1"/>
  <c r="G933" i="1" a="1"/>
  <c r="G933" i="1" s="1"/>
  <c r="E933" i="1" s="1" a="1"/>
  <c r="E933" i="1" s="1"/>
  <c r="I933" i="1" s="1" a="1"/>
  <c r="I933" i="1" s="1"/>
  <c r="H932" i="1" l="1"/>
  <c r="H933" i="1" s="1"/>
  <c r="I932" i="1" a="1"/>
  <c r="I932" i="1" s="1"/>
  <c r="F934" i="1" a="1"/>
  <c r="F934" i="1" s="1"/>
  <c r="G934" i="1" l="1" a="1"/>
  <c r="G934" i="1" s="1"/>
  <c r="F935" i="1" s="1" a="1"/>
  <c r="F935" i="1" s="1"/>
  <c r="E934" i="1" l="1" a="1"/>
  <c r="E934" i="1" s="1"/>
  <c r="G935" i="1" a="1"/>
  <c r="G935" i="1" s="1"/>
  <c r="E935" i="1" s="1" a="1"/>
  <c r="E935" i="1" s="1"/>
  <c r="I935" i="1" s="1" a="1"/>
  <c r="I935" i="1" s="1"/>
  <c r="H934" i="1" l="1"/>
  <c r="H935" i="1" s="1"/>
  <c r="I934" i="1" a="1"/>
  <c r="I934" i="1" s="1"/>
  <c r="F936" i="1" a="1"/>
  <c r="F936" i="1" s="1"/>
  <c r="G936" i="1" l="1" a="1"/>
  <c r="G936" i="1" s="1"/>
  <c r="F937" i="1" s="1" a="1"/>
  <c r="F937" i="1" s="1"/>
  <c r="E936" i="1" l="1" a="1"/>
  <c r="E936" i="1" s="1"/>
  <c r="G937" i="1" a="1"/>
  <c r="G937" i="1" s="1"/>
  <c r="E937" i="1" s="1" a="1"/>
  <c r="E937" i="1" s="1"/>
  <c r="I937" i="1" s="1" a="1"/>
  <c r="I937" i="1" s="1"/>
  <c r="H936" i="1" l="1"/>
  <c r="H937" i="1" s="1"/>
  <c r="I936" i="1" a="1"/>
  <c r="I936" i="1" s="1"/>
  <c r="F938" i="1" a="1"/>
  <c r="F938" i="1" s="1"/>
  <c r="G938" i="1" l="1" a="1"/>
  <c r="G938" i="1" s="1"/>
  <c r="F939" i="1" s="1" a="1"/>
  <c r="F939" i="1" s="1"/>
  <c r="E938" i="1" l="1" a="1"/>
  <c r="E938" i="1" s="1"/>
  <c r="G939" i="1" a="1"/>
  <c r="G939" i="1" s="1"/>
  <c r="E939" i="1" s="1" a="1"/>
  <c r="E939" i="1" s="1"/>
  <c r="I939" i="1" s="1" a="1"/>
  <c r="I939" i="1" s="1"/>
  <c r="H938" i="1" l="1"/>
  <c r="H939" i="1" s="1"/>
  <c r="I938" i="1" a="1"/>
  <c r="I938" i="1" s="1"/>
  <c r="F940" i="1" a="1"/>
  <c r="F940" i="1" s="1"/>
  <c r="G940" i="1" l="1" a="1"/>
  <c r="G940" i="1" s="1"/>
  <c r="F941" i="1" s="1" a="1"/>
  <c r="F941" i="1" s="1"/>
  <c r="E940" i="1" l="1" a="1"/>
  <c r="E940" i="1" s="1"/>
  <c r="G941" i="1" a="1"/>
  <c r="G941" i="1" s="1"/>
  <c r="E941" i="1" s="1" a="1"/>
  <c r="E941" i="1" s="1"/>
  <c r="I941" i="1" s="1" a="1"/>
  <c r="I941" i="1" s="1"/>
  <c r="H940" i="1" l="1"/>
  <c r="H941" i="1" s="1"/>
  <c r="I940" i="1" a="1"/>
  <c r="I940" i="1" s="1"/>
  <c r="F942" i="1" a="1"/>
  <c r="F942" i="1" s="1"/>
  <c r="G942" i="1" l="1" a="1"/>
  <c r="G942" i="1" s="1"/>
  <c r="F943" i="1" s="1" a="1"/>
  <c r="F943" i="1" s="1"/>
  <c r="E942" i="1" l="1" a="1"/>
  <c r="E942" i="1" s="1"/>
  <c r="G943" i="1" a="1"/>
  <c r="G943" i="1" s="1"/>
  <c r="E943" i="1" s="1" a="1"/>
  <c r="E943" i="1" s="1"/>
  <c r="I943" i="1" s="1" a="1"/>
  <c r="I943" i="1" s="1"/>
  <c r="H942" i="1" l="1"/>
  <c r="H943" i="1" s="1"/>
  <c r="I942" i="1" a="1"/>
  <c r="I942" i="1" s="1"/>
  <c r="F944" i="1" a="1"/>
  <c r="F944" i="1" s="1"/>
  <c r="G944" i="1" l="1" a="1"/>
  <c r="G944" i="1" s="1"/>
  <c r="F945" i="1" s="1" a="1"/>
  <c r="F945" i="1" s="1"/>
  <c r="E944" i="1" l="1" a="1"/>
  <c r="E944" i="1" s="1"/>
  <c r="G945" i="1" a="1"/>
  <c r="G945" i="1" s="1"/>
  <c r="E945" i="1" s="1" a="1"/>
  <c r="E945" i="1" s="1"/>
  <c r="I945" i="1" s="1" a="1"/>
  <c r="I945" i="1" s="1"/>
  <c r="H944" i="1" l="1"/>
  <c r="H945" i="1" s="1"/>
  <c r="I944" i="1" a="1"/>
  <c r="I944" i="1" s="1"/>
  <c r="F946" i="1" a="1"/>
  <c r="F946" i="1" s="1"/>
  <c r="G946" i="1" l="1" a="1"/>
  <c r="G946" i="1" s="1"/>
  <c r="F947" i="1" s="1" a="1"/>
  <c r="F947" i="1" s="1"/>
  <c r="E946" i="1" l="1" a="1"/>
  <c r="E946" i="1" s="1"/>
  <c r="G947" i="1" a="1"/>
  <c r="G947" i="1" s="1"/>
  <c r="E947" i="1" s="1" a="1"/>
  <c r="E947" i="1" s="1"/>
  <c r="I947" i="1" s="1" a="1"/>
  <c r="I947" i="1" s="1"/>
  <c r="H946" i="1" l="1"/>
  <c r="H947" i="1" s="1"/>
  <c r="I946" i="1" a="1"/>
  <c r="I946" i="1" s="1"/>
  <c r="F948" i="1" a="1"/>
  <c r="F948" i="1" s="1"/>
  <c r="G948" i="1" l="1" a="1"/>
  <c r="G948" i="1" s="1"/>
  <c r="F949" i="1" s="1" a="1"/>
  <c r="F949" i="1" s="1"/>
  <c r="E948" i="1" l="1" a="1"/>
  <c r="E948" i="1" s="1"/>
  <c r="G949" i="1" a="1"/>
  <c r="G949" i="1" s="1"/>
  <c r="E949" i="1" s="1" a="1"/>
  <c r="E949" i="1" s="1"/>
  <c r="I949" i="1" s="1" a="1"/>
  <c r="I949" i="1" s="1"/>
  <c r="H948" i="1" l="1"/>
  <c r="H949" i="1" s="1"/>
  <c r="I948" i="1" a="1"/>
  <c r="I948" i="1" s="1"/>
  <c r="F950" i="1" a="1"/>
  <c r="F950" i="1" s="1"/>
  <c r="G950" i="1" l="1" a="1"/>
  <c r="G950" i="1" s="1"/>
  <c r="F951" i="1" s="1" a="1"/>
  <c r="F951" i="1" s="1"/>
  <c r="E950" i="1" l="1" a="1"/>
  <c r="E950" i="1" s="1"/>
  <c r="G951" i="1" a="1"/>
  <c r="G951" i="1" s="1"/>
  <c r="E951" i="1" s="1" a="1"/>
  <c r="E951" i="1" s="1"/>
  <c r="I951" i="1" s="1" a="1"/>
  <c r="I951" i="1" s="1"/>
  <c r="H950" i="1" l="1"/>
  <c r="H951" i="1" s="1"/>
  <c r="I950" i="1" a="1"/>
  <c r="I950" i="1" s="1"/>
  <c r="F952" i="1" a="1"/>
  <c r="F952" i="1" s="1"/>
  <c r="G952" i="1" l="1" a="1"/>
  <c r="G952" i="1" s="1"/>
  <c r="F953" i="1" s="1" a="1"/>
  <c r="F953" i="1" s="1"/>
  <c r="E952" i="1" l="1" a="1"/>
  <c r="E952" i="1" s="1"/>
  <c r="G953" i="1" a="1"/>
  <c r="G953" i="1" s="1"/>
  <c r="E953" i="1" s="1" a="1"/>
  <c r="E953" i="1" s="1"/>
  <c r="I953" i="1" s="1" a="1"/>
  <c r="I953" i="1" s="1"/>
  <c r="H952" i="1" l="1"/>
  <c r="H953" i="1" s="1"/>
  <c r="I952" i="1" a="1"/>
  <c r="I952" i="1" s="1"/>
  <c r="F954" i="1" a="1"/>
  <c r="F954" i="1" s="1"/>
  <c r="G954" i="1" l="1" a="1"/>
  <c r="G954" i="1" s="1"/>
  <c r="F955" i="1" s="1" a="1"/>
  <c r="F955" i="1" s="1"/>
  <c r="E954" i="1" l="1" a="1"/>
  <c r="E954" i="1" s="1"/>
  <c r="G955" i="1" a="1"/>
  <c r="G955" i="1" s="1"/>
  <c r="E955" i="1" s="1" a="1"/>
  <c r="E955" i="1" s="1"/>
  <c r="I955" i="1" s="1" a="1"/>
  <c r="I955" i="1" s="1"/>
  <c r="H954" i="1" l="1"/>
  <c r="H955" i="1" s="1"/>
  <c r="I954" i="1" a="1"/>
  <c r="I954" i="1" s="1"/>
  <c r="F956" i="1" a="1"/>
  <c r="F956" i="1" s="1"/>
  <c r="G956" i="1" l="1" a="1"/>
  <c r="G956" i="1" s="1"/>
  <c r="F957" i="1" s="1" a="1"/>
  <c r="F957" i="1" s="1"/>
  <c r="E956" i="1" l="1" a="1"/>
  <c r="E956" i="1" s="1"/>
  <c r="G957" i="1" a="1"/>
  <c r="G957" i="1" s="1"/>
  <c r="E957" i="1" s="1" a="1"/>
  <c r="E957" i="1" s="1"/>
  <c r="I957" i="1" s="1" a="1"/>
  <c r="I957" i="1" s="1"/>
  <c r="H956" i="1" l="1"/>
  <c r="H957" i="1" s="1"/>
  <c r="I956" i="1" a="1"/>
  <c r="I956" i="1" s="1"/>
  <c r="F958" i="1" a="1"/>
  <c r="F958" i="1" s="1"/>
  <c r="G958" i="1" l="1" a="1"/>
  <c r="G958" i="1" s="1"/>
  <c r="F959" i="1" s="1" a="1"/>
  <c r="F959" i="1" s="1"/>
  <c r="E958" i="1" l="1" a="1"/>
  <c r="E958" i="1" s="1"/>
  <c r="G959" i="1" a="1"/>
  <c r="G959" i="1" s="1"/>
  <c r="E959" i="1" s="1" a="1"/>
  <c r="E959" i="1" s="1"/>
  <c r="I959" i="1" s="1" a="1"/>
  <c r="I959" i="1" s="1"/>
  <c r="H958" i="1" l="1"/>
  <c r="H959" i="1" s="1"/>
  <c r="I958" i="1" a="1"/>
  <c r="I958" i="1" s="1"/>
  <c r="F960" i="1" a="1"/>
  <c r="F960" i="1" s="1"/>
  <c r="G960" i="1" l="1" a="1"/>
  <c r="G960" i="1" s="1"/>
  <c r="F961" i="1" s="1" a="1"/>
  <c r="F961" i="1" s="1"/>
  <c r="E960" i="1" l="1" a="1"/>
  <c r="E960" i="1" s="1"/>
  <c r="G961" i="1" a="1"/>
  <c r="G961" i="1" s="1"/>
  <c r="E961" i="1" s="1" a="1"/>
  <c r="E961" i="1" s="1"/>
  <c r="I961" i="1" s="1" a="1"/>
  <c r="I961" i="1" s="1"/>
  <c r="H960" i="1" l="1"/>
  <c r="H961" i="1" s="1"/>
  <c r="I960" i="1" a="1"/>
  <c r="I960" i="1" s="1"/>
  <c r="F962" i="1" a="1"/>
  <c r="F962" i="1" s="1"/>
  <c r="G962" i="1" l="1" a="1"/>
  <c r="G962" i="1" s="1"/>
  <c r="F963" i="1" s="1" a="1"/>
  <c r="F963" i="1" s="1"/>
  <c r="E962" i="1" l="1" a="1"/>
  <c r="E962" i="1" s="1"/>
  <c r="G963" i="1" a="1"/>
  <c r="G963" i="1" s="1"/>
  <c r="E963" i="1" s="1" a="1"/>
  <c r="E963" i="1" s="1"/>
  <c r="I963" i="1" s="1" a="1"/>
  <c r="I963" i="1" s="1"/>
  <c r="H962" i="1" l="1"/>
  <c r="H963" i="1" s="1"/>
  <c r="I962" i="1" a="1"/>
  <c r="I962" i="1" s="1"/>
  <c r="F964" i="1" a="1"/>
  <c r="F964" i="1" s="1"/>
  <c r="G964" i="1" l="1" a="1"/>
  <c r="G964" i="1" s="1"/>
  <c r="F965" i="1" s="1" a="1"/>
  <c r="F965" i="1" s="1"/>
  <c r="E964" i="1" l="1" a="1"/>
  <c r="E964" i="1" s="1"/>
  <c r="G965" i="1" a="1"/>
  <c r="G965" i="1" s="1"/>
  <c r="E965" i="1" s="1" a="1"/>
  <c r="E965" i="1" s="1"/>
  <c r="I965" i="1" s="1" a="1"/>
  <c r="I965" i="1" s="1"/>
  <c r="H964" i="1" l="1"/>
  <c r="H965" i="1" s="1"/>
  <c r="I964" i="1" a="1"/>
  <c r="I964" i="1" s="1"/>
  <c r="F966" i="1" a="1"/>
  <c r="F966" i="1" s="1"/>
  <c r="G966" i="1" l="1" a="1"/>
  <c r="G966" i="1" s="1"/>
  <c r="F967" i="1" s="1" a="1"/>
  <c r="F967" i="1" s="1"/>
  <c r="E966" i="1" l="1" a="1"/>
  <c r="E966" i="1" s="1"/>
  <c r="G967" i="1" a="1"/>
  <c r="G967" i="1" s="1"/>
  <c r="E967" i="1" s="1" a="1"/>
  <c r="E967" i="1" s="1"/>
  <c r="I967" i="1" s="1" a="1"/>
  <c r="I967" i="1" s="1"/>
  <c r="H966" i="1" l="1"/>
  <c r="H967" i="1" s="1"/>
  <c r="I966" i="1" a="1"/>
  <c r="I966" i="1" s="1"/>
  <c r="F968" i="1" a="1"/>
  <c r="F968" i="1" s="1"/>
  <c r="G968" i="1" l="1" a="1"/>
  <c r="G968" i="1" s="1"/>
  <c r="F969" i="1" s="1" a="1"/>
  <c r="F969" i="1" s="1"/>
  <c r="E968" i="1" l="1" a="1"/>
  <c r="E968" i="1" s="1"/>
  <c r="G969" i="1" a="1"/>
  <c r="G969" i="1" s="1"/>
  <c r="E969" i="1" s="1" a="1"/>
  <c r="E969" i="1" s="1"/>
  <c r="I969" i="1" s="1" a="1"/>
  <c r="I969" i="1" s="1"/>
  <c r="H968" i="1" l="1"/>
  <c r="H969" i="1" s="1"/>
  <c r="I968" i="1" a="1"/>
  <c r="I968" i="1" s="1"/>
  <c r="F970" i="1" a="1"/>
  <c r="F970" i="1" s="1"/>
  <c r="G970" i="1" l="1" a="1"/>
  <c r="G970" i="1" s="1"/>
  <c r="F971" i="1" s="1" a="1"/>
  <c r="F971" i="1" s="1"/>
  <c r="E970" i="1" l="1" a="1"/>
  <c r="E970" i="1" s="1"/>
  <c r="G971" i="1" a="1"/>
  <c r="G971" i="1" s="1"/>
  <c r="E971" i="1" s="1" a="1"/>
  <c r="E971" i="1" s="1"/>
  <c r="I971" i="1" s="1" a="1"/>
  <c r="I971" i="1" s="1"/>
  <c r="H970" i="1" l="1"/>
  <c r="H971" i="1" s="1"/>
  <c r="I970" i="1" a="1"/>
  <c r="I970" i="1" s="1"/>
  <c r="F972" i="1" a="1"/>
  <c r="F972" i="1" s="1"/>
  <c r="G972" i="1" l="1" a="1"/>
  <c r="G972" i="1" s="1"/>
  <c r="F973" i="1" s="1" a="1"/>
  <c r="F973" i="1" s="1"/>
  <c r="E972" i="1" l="1" a="1"/>
  <c r="E972" i="1" s="1"/>
  <c r="G973" i="1" a="1"/>
  <c r="G973" i="1" s="1"/>
  <c r="E973" i="1" s="1" a="1"/>
  <c r="E973" i="1" s="1"/>
  <c r="I973" i="1" s="1" a="1"/>
  <c r="I973" i="1" s="1"/>
  <c r="H972" i="1" l="1"/>
  <c r="H973" i="1" s="1"/>
  <c r="I972" i="1" a="1"/>
  <c r="I972" i="1" s="1"/>
  <c r="F974" i="1" a="1"/>
  <c r="F974" i="1" s="1"/>
  <c r="G974" i="1" l="1" a="1"/>
  <c r="G974" i="1" s="1"/>
  <c r="F975" i="1" s="1" a="1"/>
  <c r="F975" i="1" s="1"/>
  <c r="E974" i="1" l="1" a="1"/>
  <c r="E974" i="1" s="1"/>
  <c r="G975" i="1" a="1"/>
  <c r="G975" i="1" s="1"/>
  <c r="E975" i="1" s="1" a="1"/>
  <c r="E975" i="1" s="1"/>
  <c r="I975" i="1" s="1" a="1"/>
  <c r="I975" i="1" s="1"/>
  <c r="H974" i="1" l="1"/>
  <c r="H975" i="1" s="1"/>
  <c r="I974" i="1" a="1"/>
  <c r="I974" i="1" s="1"/>
  <c r="F976" i="1" a="1"/>
  <c r="F976" i="1" s="1"/>
  <c r="G976" i="1" l="1" a="1"/>
  <c r="G976" i="1" s="1"/>
  <c r="F977" i="1" s="1" a="1"/>
  <c r="F977" i="1" s="1"/>
  <c r="E976" i="1" l="1" a="1"/>
  <c r="E976" i="1" s="1"/>
  <c r="G977" i="1" a="1"/>
  <c r="G977" i="1" s="1"/>
  <c r="E977" i="1" s="1" a="1"/>
  <c r="E977" i="1" s="1"/>
  <c r="I977" i="1" s="1" a="1"/>
  <c r="I977" i="1" s="1"/>
  <c r="H976" i="1" l="1"/>
  <c r="H977" i="1" s="1"/>
  <c r="I976" i="1" a="1"/>
  <c r="I976" i="1" s="1"/>
  <c r="F978" i="1" a="1"/>
  <c r="F978" i="1" s="1"/>
  <c r="G978" i="1" l="1" a="1"/>
  <c r="G978" i="1" s="1"/>
  <c r="F979" i="1" s="1" a="1"/>
  <c r="F979" i="1" s="1"/>
  <c r="E978" i="1" l="1" a="1"/>
  <c r="E978" i="1" s="1"/>
  <c r="G979" i="1" a="1"/>
  <c r="G979" i="1" s="1"/>
  <c r="E979" i="1" s="1" a="1"/>
  <c r="E979" i="1" s="1"/>
  <c r="I979" i="1" s="1" a="1"/>
  <c r="I979" i="1" s="1"/>
  <c r="H978" i="1" l="1"/>
  <c r="H979" i="1" s="1"/>
  <c r="I978" i="1" a="1"/>
  <c r="I978" i="1" s="1"/>
  <c r="F980" i="1" a="1"/>
  <c r="F980" i="1" s="1"/>
  <c r="G980" i="1" l="1" a="1"/>
  <c r="G980" i="1" s="1"/>
  <c r="F981" i="1" s="1" a="1"/>
  <c r="F981" i="1" s="1"/>
  <c r="E980" i="1" l="1" a="1"/>
  <c r="E980" i="1" s="1"/>
  <c r="G981" i="1" a="1"/>
  <c r="G981" i="1" s="1"/>
  <c r="E981" i="1" s="1" a="1"/>
  <c r="E981" i="1" s="1"/>
  <c r="I981" i="1" s="1" a="1"/>
  <c r="I981" i="1" s="1"/>
  <c r="H980" i="1" l="1"/>
  <c r="H981" i="1" s="1"/>
  <c r="I980" i="1" a="1"/>
  <c r="I980" i="1" s="1"/>
  <c r="F982" i="1" a="1"/>
  <c r="F982" i="1" s="1"/>
  <c r="G982" i="1" l="1" a="1"/>
  <c r="G982" i="1" s="1"/>
  <c r="F983" i="1" s="1" a="1"/>
  <c r="F983" i="1" s="1"/>
  <c r="E982" i="1" l="1" a="1"/>
  <c r="E982" i="1" s="1"/>
  <c r="G983" i="1" a="1"/>
  <c r="G983" i="1" s="1"/>
  <c r="E983" i="1" s="1" a="1"/>
  <c r="E983" i="1" s="1"/>
  <c r="I983" i="1" s="1" a="1"/>
  <c r="I983" i="1" s="1"/>
  <c r="H982" i="1" l="1"/>
  <c r="H983" i="1" s="1"/>
  <c r="I982" i="1" a="1"/>
  <c r="I982" i="1" s="1"/>
  <c r="F984" i="1" a="1"/>
  <c r="F984" i="1" s="1"/>
  <c r="G984" i="1" l="1" a="1"/>
  <c r="G984" i="1" s="1"/>
  <c r="F985" i="1" s="1" a="1"/>
  <c r="F985" i="1" s="1"/>
  <c r="E984" i="1" l="1" a="1"/>
  <c r="E984" i="1" s="1"/>
  <c r="G985" i="1" a="1"/>
  <c r="G985" i="1" s="1"/>
  <c r="E985" i="1" s="1" a="1"/>
  <c r="E985" i="1" s="1"/>
  <c r="I985" i="1" s="1" a="1"/>
  <c r="I985" i="1" s="1"/>
  <c r="H984" i="1" l="1"/>
  <c r="H985" i="1" s="1"/>
  <c r="I984" i="1" a="1"/>
  <c r="I984" i="1" s="1"/>
  <c r="F986" i="1" a="1"/>
  <c r="F986" i="1" s="1"/>
  <c r="G986" i="1" l="1" a="1"/>
  <c r="G986" i="1" s="1"/>
  <c r="F987" i="1" s="1" a="1"/>
  <c r="F987" i="1" s="1"/>
  <c r="E986" i="1" l="1" a="1"/>
  <c r="E986" i="1" s="1"/>
  <c r="G987" i="1" a="1"/>
  <c r="G987" i="1" s="1"/>
  <c r="E987" i="1" s="1" a="1"/>
  <c r="E987" i="1" s="1"/>
  <c r="I987" i="1" s="1" a="1"/>
  <c r="I987" i="1" s="1"/>
  <c r="H986" i="1" l="1"/>
  <c r="H987" i="1" s="1"/>
  <c r="I986" i="1" a="1"/>
  <c r="I986" i="1" s="1"/>
  <c r="F988" i="1" a="1"/>
  <c r="F988" i="1" s="1"/>
  <c r="G988" i="1" l="1" a="1"/>
  <c r="G988" i="1" s="1"/>
  <c r="F989" i="1" s="1" a="1"/>
  <c r="F989" i="1" s="1"/>
  <c r="E988" i="1" l="1" a="1"/>
  <c r="E988" i="1" s="1"/>
  <c r="G989" i="1" a="1"/>
  <c r="G989" i="1" s="1"/>
  <c r="E989" i="1" s="1" a="1"/>
  <c r="E989" i="1" s="1"/>
  <c r="I989" i="1" s="1" a="1"/>
  <c r="I989" i="1" s="1"/>
  <c r="H988" i="1" l="1"/>
  <c r="H989" i="1" s="1"/>
  <c r="I988" i="1" a="1"/>
  <c r="I988" i="1" s="1"/>
  <c r="F990" i="1" a="1"/>
  <c r="F990" i="1" s="1"/>
  <c r="G990" i="1" l="1" a="1"/>
  <c r="G990" i="1" s="1"/>
  <c r="F991" i="1" s="1" a="1"/>
  <c r="F991" i="1" s="1"/>
  <c r="E990" i="1" l="1" a="1"/>
  <c r="E990" i="1" s="1"/>
  <c r="G991" i="1" a="1"/>
  <c r="G991" i="1" s="1"/>
  <c r="E991" i="1" s="1" a="1"/>
  <c r="E991" i="1" s="1"/>
  <c r="I991" i="1" s="1" a="1"/>
  <c r="I991" i="1" s="1"/>
  <c r="H990" i="1" l="1"/>
  <c r="H991" i="1" s="1"/>
  <c r="I990" i="1" a="1"/>
  <c r="I990" i="1" s="1"/>
  <c r="F992" i="1" a="1"/>
  <c r="F992" i="1" s="1"/>
  <c r="G992" i="1" l="1" a="1"/>
  <c r="G992" i="1" s="1"/>
  <c r="F993" i="1" s="1" a="1"/>
  <c r="F993" i="1" s="1"/>
  <c r="E992" i="1" l="1" a="1"/>
  <c r="E992" i="1" s="1"/>
  <c r="G993" i="1" a="1"/>
  <c r="G993" i="1" s="1"/>
  <c r="E993" i="1" s="1" a="1"/>
  <c r="E993" i="1" s="1"/>
  <c r="I993" i="1" s="1" a="1"/>
  <c r="I993" i="1" s="1"/>
  <c r="H992" i="1" l="1"/>
  <c r="H993" i="1" s="1"/>
  <c r="I992" i="1" a="1"/>
  <c r="I992" i="1" s="1"/>
  <c r="F994" i="1" a="1"/>
  <c r="F994" i="1" s="1"/>
  <c r="G994" i="1" l="1" a="1"/>
  <c r="G994" i="1" s="1"/>
  <c r="F995" i="1" s="1" a="1"/>
  <c r="F995" i="1" s="1"/>
  <c r="E994" i="1" l="1" a="1"/>
  <c r="E994" i="1" s="1"/>
  <c r="G995" i="1" a="1"/>
  <c r="G995" i="1" s="1"/>
  <c r="E995" i="1" s="1" a="1"/>
  <c r="E995" i="1" s="1"/>
  <c r="I995" i="1" s="1" a="1"/>
  <c r="I995" i="1" s="1"/>
  <c r="H994" i="1" l="1"/>
  <c r="H995" i="1" s="1"/>
  <c r="I994" i="1" a="1"/>
  <c r="I994" i="1" s="1"/>
  <c r="F996" i="1" a="1"/>
  <c r="F996" i="1" s="1"/>
  <c r="G996" i="1" l="1" a="1"/>
  <c r="G996" i="1" s="1"/>
  <c r="F997" i="1" s="1" a="1"/>
  <c r="F997" i="1" s="1"/>
  <c r="E996" i="1" l="1" a="1"/>
  <c r="E996" i="1" s="1"/>
  <c r="G997" i="1" a="1"/>
  <c r="G997" i="1" s="1"/>
  <c r="E997" i="1" s="1" a="1"/>
  <c r="E997" i="1" s="1"/>
  <c r="I997" i="1" s="1" a="1"/>
  <c r="I997" i="1" s="1"/>
  <c r="H996" i="1" l="1"/>
  <c r="H997" i="1" s="1"/>
  <c r="I996" i="1" a="1"/>
  <c r="I996" i="1" s="1"/>
  <c r="F998" i="1" a="1"/>
  <c r="F998" i="1" s="1"/>
  <c r="G998" i="1" l="1" a="1"/>
  <c r="G998" i="1" s="1"/>
  <c r="F999" i="1" s="1" a="1"/>
  <c r="F999" i="1" s="1"/>
  <c r="E998" i="1" l="1" a="1"/>
  <c r="E998" i="1" s="1"/>
  <c r="G999" i="1" a="1"/>
  <c r="G999" i="1" s="1"/>
  <c r="E999" i="1" s="1" a="1"/>
  <c r="E999" i="1" s="1"/>
  <c r="I999" i="1" s="1" a="1"/>
  <c r="I999" i="1" s="1"/>
  <c r="H998" i="1" l="1"/>
  <c r="H999" i="1" s="1"/>
  <c r="I998" i="1" a="1"/>
  <c r="I998" i="1" s="1"/>
  <c r="F1000" i="1" a="1"/>
  <c r="F1000" i="1" s="1"/>
  <c r="G1000" i="1" l="1" a="1"/>
  <c r="G1000" i="1" s="1"/>
  <c r="F1001" i="1" s="1" a="1"/>
  <c r="F1001" i="1" s="1"/>
  <c r="E1000" i="1" l="1" a="1"/>
  <c r="E1000" i="1" s="1"/>
  <c r="G1001" i="1" a="1"/>
  <c r="G1001" i="1" s="1"/>
  <c r="E1001" i="1" s="1" a="1"/>
  <c r="E1001" i="1" s="1"/>
  <c r="I1001" i="1" s="1" a="1"/>
  <c r="I1001" i="1" s="1"/>
  <c r="H1000" i="1" l="1"/>
  <c r="H1001" i="1" s="1"/>
  <c r="I1000" i="1" a="1"/>
  <c r="I1000" i="1" s="1"/>
  <c r="F1002" i="1" a="1"/>
  <c r="F1002" i="1" s="1"/>
  <c r="G1002" i="1" l="1" a="1"/>
  <c r="G1002" i="1" s="1"/>
  <c r="F1003" i="1" s="1" a="1"/>
  <c r="F1003" i="1" s="1"/>
  <c r="E1002" i="1" l="1" a="1"/>
  <c r="E1002" i="1" s="1"/>
  <c r="G1003" i="1" a="1"/>
  <c r="G1003" i="1" s="1"/>
  <c r="E1003" i="1" s="1" a="1"/>
  <c r="E1003" i="1" s="1"/>
  <c r="I1003" i="1" s="1" a="1"/>
  <c r="I1003" i="1" s="1"/>
  <c r="H1002" i="1" l="1"/>
  <c r="H1003" i="1" s="1"/>
  <c r="I1002" i="1" a="1"/>
  <c r="I1002" i="1" s="1"/>
  <c r="F1004" i="1" a="1"/>
  <c r="F1004" i="1" s="1"/>
  <c r="G1004" i="1" l="1" a="1"/>
  <c r="G1004" i="1" s="1"/>
  <c r="F1005" i="1" s="1" a="1"/>
  <c r="F1005" i="1" s="1"/>
  <c r="E1004" i="1" l="1" a="1"/>
  <c r="E1004" i="1" s="1"/>
  <c r="G1005" i="1" a="1"/>
  <c r="G1005" i="1" s="1"/>
  <c r="E1005" i="1" s="1" a="1"/>
  <c r="E1005" i="1" s="1"/>
  <c r="I1005" i="1" s="1" a="1"/>
  <c r="I1005" i="1" s="1"/>
  <c r="H1004" i="1" l="1"/>
  <c r="H1005" i="1" s="1"/>
  <c r="I1004" i="1" a="1"/>
  <c r="I1004" i="1" s="1"/>
  <c r="F1006" i="1" a="1"/>
  <c r="F1006" i="1" s="1"/>
  <c r="G1006" i="1" l="1" a="1"/>
  <c r="G1006" i="1" s="1"/>
  <c r="F1007" i="1" s="1" a="1"/>
  <c r="F1007" i="1" s="1"/>
  <c r="E1006" i="1" l="1" a="1"/>
  <c r="E1006" i="1" s="1"/>
  <c r="G1007" i="1" a="1"/>
  <c r="G1007" i="1" s="1"/>
  <c r="E1007" i="1" s="1" a="1"/>
  <c r="E1007" i="1" s="1"/>
  <c r="I1007" i="1" s="1" a="1"/>
  <c r="I1007" i="1" s="1"/>
  <c r="H1006" i="1" l="1"/>
  <c r="H1007" i="1" s="1"/>
  <c r="I1006" i="1" a="1"/>
  <c r="I1006" i="1" s="1"/>
  <c r="F1008" i="1" a="1"/>
  <c r="F1008" i="1" s="1"/>
  <c r="G1008" i="1" l="1" a="1"/>
  <c r="G1008" i="1" s="1"/>
  <c r="F1009" i="1" s="1" a="1"/>
  <c r="F1009" i="1" s="1"/>
  <c r="E1008" i="1" l="1" a="1"/>
  <c r="E1008" i="1" s="1"/>
  <c r="G1009" i="1" a="1"/>
  <c r="G1009" i="1" s="1"/>
  <c r="E1009" i="1" s="1" a="1"/>
  <c r="E1009" i="1" s="1"/>
  <c r="I1009" i="1" s="1" a="1"/>
  <c r="I1009" i="1" s="1"/>
  <c r="H1008" i="1" l="1"/>
  <c r="H1009" i="1" s="1"/>
  <c r="I1008" i="1" a="1"/>
  <c r="I1008" i="1" s="1"/>
  <c r="F1010" i="1" a="1"/>
  <c r="F1010" i="1" s="1"/>
  <c r="G1010" i="1" l="1" a="1"/>
  <c r="G1010" i="1" s="1"/>
  <c r="F1011" i="1" s="1" a="1"/>
  <c r="F1011" i="1" s="1"/>
  <c r="E1010" i="1" l="1" a="1"/>
  <c r="E1010" i="1" s="1"/>
  <c r="G1011" i="1" a="1"/>
  <c r="G1011" i="1" s="1"/>
  <c r="M9" i="1"/>
  <c r="H1010" i="1" l="1"/>
  <c r="I1010" i="1" a="1"/>
  <c r="I1010" i="1" s="1"/>
  <c r="M6" i="1"/>
  <c r="M12" i="1" s="1"/>
  <c r="E1011" i="1" a="1"/>
  <c r="E1011" i="1" s="1"/>
  <c r="H1011" i="1" l="1"/>
  <c r="I1011" i="1" a="1"/>
  <c r="I1011" i="1" s="1"/>
  <c r="P4" i="1"/>
  <c r="S25" i="1" l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7" i="1"/>
  <c r="S12" i="1"/>
  <c r="S4" i="1"/>
  <c r="S11" i="1"/>
  <c r="S10" i="1"/>
  <c r="S13" i="1"/>
  <c r="S8" i="1"/>
  <c r="S9" i="1"/>
  <c r="S17" i="1"/>
  <c r="S18" i="1"/>
  <c r="S14" i="1"/>
  <c r="S15" i="1"/>
  <c r="S16" i="1"/>
  <c r="S19" i="1"/>
  <c r="S21" i="1"/>
  <c r="S20" i="1"/>
  <c r="S22" i="1"/>
  <c r="S23" i="1"/>
  <c r="Q4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S24" i="1"/>
  <c r="S6" i="1"/>
  <c r="S5" i="1"/>
  <c r="T30" i="1" l="1"/>
  <c r="T35" i="1"/>
  <c r="T48" i="1"/>
  <c r="T41" i="1"/>
  <c r="T42" i="1"/>
  <c r="T43" i="1"/>
  <c r="T44" i="1"/>
  <c r="T45" i="1"/>
  <c r="T46" i="1"/>
  <c r="T49" i="1"/>
  <c r="T50" i="1"/>
  <c r="T51" i="1"/>
  <c r="T52" i="1"/>
  <c r="T27" i="1"/>
  <c r="T29" i="1"/>
  <c r="T33" i="1"/>
  <c r="T37" i="1"/>
  <c r="T39" i="1"/>
  <c r="T25" i="1"/>
  <c r="T28" i="1"/>
  <c r="T31" i="1"/>
  <c r="T34" i="1"/>
  <c r="T38" i="1"/>
  <c r="T47" i="1"/>
  <c r="T26" i="1"/>
  <c r="T32" i="1"/>
  <c r="T36" i="1"/>
  <c r="T40" i="1"/>
  <c r="T4" i="1"/>
  <c r="T11" i="1"/>
  <c r="T10" i="1"/>
  <c r="T13" i="1"/>
  <c r="T8" i="1"/>
  <c r="T9" i="1"/>
  <c r="T15" i="1"/>
  <c r="T19" i="1"/>
  <c r="T22" i="1"/>
  <c r="T17" i="1"/>
  <c r="T18" i="1"/>
  <c r="T14" i="1"/>
  <c r="T16" i="1"/>
  <c r="T21" i="1"/>
  <c r="T20" i="1"/>
  <c r="T23" i="1"/>
  <c r="T24" i="1"/>
  <c r="T6" i="1"/>
  <c r="T5" i="1"/>
  <c r="T7" i="1"/>
  <c r="T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<sst xmlns="http://schemas.openxmlformats.org/spreadsheetml/2006/main" count="39" uniqueCount="37">
  <si>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Loan Calculator</t>
  </si>
  <si>
    <t>Additional Info</t>
  </si>
  <si>
    <t>Per Year (up to 50 years)</t>
  </si>
  <si>
    <t>Payment per period</t>
  </si>
  <si>
    <t xml:space="preserve">Year </t>
  </si>
  <si>
    <t>Interest Payments</t>
  </si>
  <si>
    <t>Principal payments</t>
  </si>
  <si>
    <t>Total Paid</t>
  </si>
  <si>
    <t>Total interest Paid</t>
  </si>
  <si>
    <t>Total Principal Paid</t>
  </si>
  <si>
    <t>Loan term :</t>
  </si>
  <si>
    <t xml:space="preserve"> Years</t>
  </si>
  <si>
    <t>Loan Amount :</t>
  </si>
  <si>
    <t>Interest Rate :</t>
  </si>
  <si>
    <t xml:space="preserve"> Months</t>
  </si>
  <si>
    <t xml:space="preserve">Total Interest Paid </t>
  </si>
  <si>
    <t>Optional : If making extra payments / overpayments</t>
  </si>
  <si>
    <t>Extra payment every month :</t>
  </si>
  <si>
    <t>Monthly Amortization Table</t>
  </si>
  <si>
    <t>Month</t>
  </si>
  <si>
    <t>Interest</t>
  </si>
  <si>
    <t>Principal</t>
  </si>
  <si>
    <t xml:space="preserve">Ending Balance </t>
  </si>
  <si>
    <t>Total Amount Paid</t>
  </si>
  <si>
    <t>Calculations</t>
  </si>
  <si>
    <t>Years</t>
  </si>
  <si>
    <t>Months</t>
  </si>
  <si>
    <t>Interest rate per period</t>
  </si>
  <si>
    <t>.</t>
  </si>
  <si>
    <t>Covert to months</t>
  </si>
  <si>
    <t>Total months</t>
  </si>
  <si>
    <t>Payment per Period</t>
  </si>
  <si>
    <t>Numerator</t>
  </si>
  <si>
    <t>Denominator</t>
  </si>
  <si>
    <t xml:space="preserve">Equates to </t>
  </si>
  <si>
    <t>Beginning interest pmt</t>
  </si>
  <si>
    <t>Beginning Priciple 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</si>
</sst>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00000"/>
    <numFmt numFmtId="166" formatCode="0.0000000000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0" fillId="5" borderId="2" xfId="0" applyFill="1" applyBorder="1"/>
    <xf numFmtId="0" fontId="4" fillId="6" borderId="2" xfId="0" applyFont="1" applyFill="1" applyBorder="1"/>
    <xf numFmtId="164" fontId="0" fillId="7" borderId="2" xfId="0" applyNumberFormat="1" applyFill="1" applyBorder="1"/>
    <xf numFmtId="10" fontId="0" fillId="7" borderId="2" xfId="0" applyNumberFormat="1" applyFill="1" applyBorder="1"/>
    <xf numFmtId="0" fontId="0" fillId="3" borderId="1" xfId="0" applyFill="1" applyBorder="1"/>
    <xf numFmtId="0" fontId="0" fillId="3" borderId="0" xfId="0" applyFill="1" applyAlignment="1">
      <alignment horizontal="centerContinuous"/>
    </xf>
    <xf numFmtId="0" fontId="1" fillId="3" borderId="0" xfId="0" applyFont="1" applyFill="1" applyAlignment="1">
      <alignment horizontal="centerContinuous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8" borderId="0" xfId="0" applyFill="1"/>
    <xf numFmtId="0" fontId="1" fillId="0" borderId="3" xfId="0" applyFont="1" applyBorder="1" applyAlignment="1">
      <alignment vertical="center"/>
    </xf>
    <xf numFmtId="164" fontId="0" fillId="0" borderId="2" xfId="0" applyNumberFormat="1" applyBorder="1"/>
    <xf numFmtId="0" fontId="5" fillId="0" borderId="0" xfId="0" applyFont="1"/>
    <xf numFmtId="164" fontId="1" fillId="0" borderId="2" xfId="0" applyNumberFormat="1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10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6" borderId="9" xfId="0" applyFont="1" applyFill="1" applyBorder="1"/>
    <xf numFmtId="0" fontId="2" fillId="3" borderId="8" xfId="0" applyFont="1" applyFill="1" applyBorder="1"/>
    <xf numFmtId="164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64" fontId="0" fillId="9" borderId="8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0" fontId="6" fillId="4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FF2"/>
      <color rgb="FFEFFFFF"/>
      <color rgb="FFC7F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58D7-FC1F-4A3C-8588-C06AEEC990A5}">
  <sheetPr codeName="Sheet1"/>
  <dimension ref="A1:X1011"/>
  <sheetViews>
    <sheetView showGridLines="0" tabSelected="1" zoomScaleNormal="100" workbookViewId="0">
      <selection activeCell="B3" sqref="B3"/>
    </sheetView>
  </sheetViews>
  <sheetFormatPr defaultRowHeight="14.45"/>
  <cols>
    <col min="1" max="2" width="11" bestFit="1" customWidth="1"/>
    <col min="3" max="3" width="8" bestFit="1" customWidth="1"/>
    <col min="5" max="5" width="15" customWidth="1"/>
    <col min="6" max="6" width="16.42578125" customWidth="1"/>
    <col min="7" max="7" width="16.7109375" customWidth="1"/>
    <col min="8" max="8" width="17.42578125" bestFit="1" customWidth="1"/>
    <col min="9" max="9" width="11.140625" bestFit="1" customWidth="1"/>
    <col min="12" max="12" width="3.42578125" customWidth="1"/>
    <col min="13" max="13" width="18.85546875" bestFit="1" customWidth="1"/>
    <col min="14" max="14" width="4.42578125" customWidth="1"/>
    <col min="15" max="15" width="13.42578125" style="12" customWidth="1"/>
    <col min="16" max="16" width="18.42578125" style="22" customWidth="1"/>
    <col min="17" max="17" width="19.140625" customWidth="1"/>
    <col min="18" max="18" width="12" bestFit="1" customWidth="1"/>
    <col min="19" max="19" width="17.5703125" bestFit="1" customWidth="1"/>
    <col min="20" max="20" width="18.5703125" bestFit="1" customWidth="1"/>
    <col min="21" max="21" width="3.42578125" customWidth="1"/>
    <col min="22" max="22" width="5.42578125" hidden="1" customWidth="1"/>
  </cols>
  <sheetData>
    <row r="1" spans="1:24" ht="21.6" thickBo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M1" s="21" t="s">
        <v>1</v>
      </c>
      <c r="N1" s="19"/>
      <c r="O1" s="42" t="s">
        <v>2</v>
      </c>
      <c r="P1" s="42"/>
      <c r="Q1" s="42"/>
      <c r="R1" s="42"/>
      <c r="S1" s="42"/>
      <c r="T1" s="42"/>
      <c r="U1" s="1"/>
      <c r="V1" s="19"/>
      <c r="W1" s="1"/>
      <c r="X1" s="1"/>
    </row>
    <row r="2" spans="1:24" ht="15" thickBot="1">
      <c r="A2" s="26"/>
      <c r="B2" s="3"/>
      <c r="C2" s="3"/>
      <c r="D2" s="3"/>
      <c r="E2" s="3"/>
      <c r="F2" s="3"/>
      <c r="G2" s="3"/>
      <c r="H2" s="3"/>
      <c r="I2" s="3"/>
      <c r="J2" s="3"/>
      <c r="K2" s="3"/>
      <c r="M2" s="17" t="s">
        <v>3</v>
      </c>
      <c r="O2" s="24" t="s">
        <v>4</v>
      </c>
      <c r="P2" s="24" t="s">
        <v>5</v>
      </c>
      <c r="Q2" s="24" t="s">
        <v>6</v>
      </c>
      <c r="R2" s="23" t="s">
        <v>7</v>
      </c>
      <c r="S2" s="23" t="s">
        <v>8</v>
      </c>
      <c r="T2" s="23" t="s">
        <v>9</v>
      </c>
    </row>
    <row r="3" spans="1:24" ht="15" thickBot="1">
      <c r="A3" s="25" t="s">
        <v>10</v>
      </c>
      <c r="B3" s="5">
        <v>30</v>
      </c>
      <c r="C3" s="4" t="s">
        <v>11</v>
      </c>
      <c r="D3" s="4"/>
      <c r="E3" s="6" t="s">
        <v>12</v>
      </c>
      <c r="F3" s="7">
        <v>250000</v>
      </c>
      <c r="G3" s="4"/>
      <c r="H3" s="6" t="s">
        <v>13</v>
      </c>
      <c r="I3" s="8">
        <v>7.0000000000000007E-2</v>
      </c>
      <c r="J3" s="4"/>
      <c r="K3" s="4"/>
      <c r="M3" s="18">
        <f>calcs!H8</f>
        <v>1663.2562379479566</v>
      </c>
      <c r="O3" s="12">
        <f>IF(I23="","",1)</f>
        <v>1</v>
      </c>
      <c r="P3" s="27">
        <f>IF(O3="","",SUBTOTAL(9,E12:E23))</f>
        <v>17419.550282137916</v>
      </c>
      <c r="Q3" s="27">
        <f>IF(P3="","",SUBTOTAL(9,F12:F23))</f>
        <v>2539.5245732375643</v>
      </c>
      <c r="R3" s="27">
        <f>IF(P3="","",P3+Q3)</f>
        <v>19959.074855375482</v>
      </c>
      <c r="S3" s="27">
        <f>IF(P3="","",P3)</f>
        <v>17419.550282137916</v>
      </c>
      <c r="T3" s="27">
        <f>IF(S3="","",Q3)</f>
        <v>2539.5245732375643</v>
      </c>
    </row>
    <row r="4" spans="1:24" ht="15" thickBot="1">
      <c r="A4" s="4"/>
      <c r="B4" s="5">
        <v>0</v>
      </c>
      <c r="C4" s="4" t="s">
        <v>14</v>
      </c>
      <c r="D4" s="4"/>
      <c r="E4" s="4"/>
      <c r="F4" s="4"/>
      <c r="G4" s="4"/>
      <c r="H4" s="4"/>
      <c r="I4" s="4"/>
      <c r="J4" s="4"/>
      <c r="K4" s="4"/>
      <c r="O4" s="28">
        <f>IF(AND(I35="",H24=""),"",2)</f>
        <v>2</v>
      </c>
      <c r="P4" s="29">
        <f>IF(O4="","",SUBTOTAL(9,E24:E35))</f>
        <v>17235.967845402178</v>
      </c>
      <c r="Q4" s="29">
        <f>IF(P4="","",SUBTOTAL(9,F24:F35))</f>
        <v>2723.1070099733033</v>
      </c>
      <c r="R4" s="29">
        <f>IF(OR(P4="",Q4=""),"",R3+(P4+Q4))</f>
        <v>39918.149710750964</v>
      </c>
      <c r="S4" s="29">
        <f>IF(P4="","",SUM($P$3:P4))</f>
        <v>34655.518127540097</v>
      </c>
      <c r="T4" s="29">
        <f>IF(S4="","",SUM($Q$3:Q4))</f>
        <v>5262.6315832108676</v>
      </c>
    </row>
    <row r="5" spans="1:24" ht="15" thickBo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M5" s="17" t="s">
        <v>15</v>
      </c>
      <c r="O5" s="12">
        <f>IF(AND(I47="",H36=""),"",3)</f>
        <v>3</v>
      </c>
      <c r="P5" s="27">
        <f>IF(O5="","",SUBTOTAL(9,E36:E47))</f>
        <v>17039.114219471026</v>
      </c>
      <c r="Q5" s="27">
        <f>IF(P5="","",SUBTOTAL(9,F36:F47))</f>
        <v>2919.9606359044546</v>
      </c>
      <c r="R5" s="27">
        <f t="shared" ref="R5:R52" si="0">IF(OR(P5="",Q5=""),"",R4+(P5+Q5))</f>
        <v>59877.224566126446</v>
      </c>
      <c r="S5" s="27">
        <f>IF(P5="","",SUM($P$3:P5))</f>
        <v>51694.632347011124</v>
      </c>
      <c r="T5" s="27">
        <f>IF(S5="","",SUM($Q$3:Q5))</f>
        <v>8182.5922191153222</v>
      </c>
    </row>
    <row r="6" spans="1:24" ht="15" thickBot="1">
      <c r="A6" s="4"/>
      <c r="B6" s="4"/>
      <c r="C6" s="11" t="s">
        <v>16</v>
      </c>
      <c r="D6" s="10"/>
      <c r="E6" s="10"/>
      <c r="F6" s="10"/>
      <c r="G6" s="10"/>
      <c r="H6" s="10"/>
      <c r="I6" s="4"/>
      <c r="J6" s="4"/>
      <c r="K6" s="4"/>
      <c r="M6" s="18">
        <f>SUBTOTAL(9,E12:E1011)</f>
        <v>348772.24566126615</v>
      </c>
      <c r="O6" s="28">
        <f>IF(AND(I59="",H48=""),"",4)</f>
        <v>4</v>
      </c>
      <c r="P6" s="29">
        <f>IF(O6="","",SUBTOTAL(9,E48:E59))</f>
        <v>16828.030029004469</v>
      </c>
      <c r="Q6" s="29">
        <f>IF(P6="","",SUBTOTAL(9,F48:F59))</f>
        <v>3131.0448263710132</v>
      </c>
      <c r="R6" s="29">
        <f t="shared" si="0"/>
        <v>79836.299421501928</v>
      </c>
      <c r="S6" s="29">
        <f>IF(P6="","",SUM($P$3:P6))</f>
        <v>68522.662376015593</v>
      </c>
      <c r="T6" s="29">
        <f>IF(S6="","",SUM($Q$3:Q6))</f>
        <v>11313.637045486335</v>
      </c>
    </row>
    <row r="7" spans="1:24" ht="15" thickBot="1">
      <c r="A7" s="41"/>
      <c r="B7" s="41"/>
      <c r="C7" s="41"/>
      <c r="D7" s="4"/>
      <c r="E7" s="4"/>
      <c r="F7" s="4"/>
      <c r="G7" s="4"/>
      <c r="H7" s="4"/>
      <c r="I7" s="4"/>
      <c r="J7" s="4"/>
      <c r="K7" s="4"/>
      <c r="O7" s="12">
        <f>IF(AND(I71="",H60=""),"",5)</f>
        <v>5</v>
      </c>
      <c r="P7" s="27">
        <f>IF(O7="","",SUBTOTAL(9,E60:E71))</f>
        <v>16601.686545341607</v>
      </c>
      <c r="Q7" s="27">
        <f>IF(P7="","",SUBTOTAL(9,F60:F71))</f>
        <v>3357.3883100338712</v>
      </c>
      <c r="R7" s="27">
        <f t="shared" si="0"/>
        <v>99795.37427687741</v>
      </c>
      <c r="S7" s="27">
        <f>IF(P7="","",SUM($P$3:P7))</f>
        <v>85124.348921357203</v>
      </c>
      <c r="T7" s="27">
        <f>IF(S7="","",SUM($Q$3:Q7))</f>
        <v>14671.025355520207</v>
      </c>
    </row>
    <row r="8" spans="1:24" ht="15" thickBot="1">
      <c r="A8" s="44" t="s">
        <v>17</v>
      </c>
      <c r="B8" s="45"/>
      <c r="C8" s="46"/>
      <c r="D8" s="7">
        <v>0</v>
      </c>
      <c r="E8" s="4"/>
      <c r="F8" s="4"/>
      <c r="G8" s="4"/>
      <c r="H8" s="4"/>
      <c r="I8" s="4"/>
      <c r="J8" s="4"/>
      <c r="K8" s="4"/>
      <c r="M8" s="17" t="s">
        <v>9</v>
      </c>
      <c r="O8" s="28">
        <f>IF(AND(I83="",H72=""),"",6)</f>
        <v>6</v>
      </c>
      <c r="P8" s="29">
        <f>IF(O8="","",SUBTOTAL(9,E72:E83))</f>
        <v>16358.980672943479</v>
      </c>
      <c r="Q8" s="29">
        <f>IF(P8="","",SUBTOTAL(9,F72:F83))</f>
        <v>3600.0941824319998</v>
      </c>
      <c r="R8" s="29">
        <f t="shared" si="0"/>
        <v>119754.44913225289</v>
      </c>
      <c r="S8" s="29">
        <f>IF(P8="","",SUM($P$3:P8))</f>
        <v>101483.32959430068</v>
      </c>
      <c r="T8" s="29">
        <f>IF(S8="","",SUM($Q$3:Q8))</f>
        <v>18271.119537952207</v>
      </c>
    </row>
    <row r="9" spans="1:24" ht="15" thickBo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M9" s="18">
        <f>SUBTOTAL(9,F12:F1011)</f>
        <v>249999.99999999837</v>
      </c>
      <c r="O9" s="12">
        <f>IF(AND(I95="",H84=""),"",7)</f>
        <v>7</v>
      </c>
      <c r="P9" s="27">
        <f>IF(O9="","",SUBTOTAL(9,E84:E95))</f>
        <v>16098.729573405408</v>
      </c>
      <c r="Q9" s="27">
        <f>IF(P9="","",SUBTOTAL(9,F84:F95))</f>
        <v>3860.3452819700751</v>
      </c>
      <c r="R9" s="27">
        <f t="shared" si="0"/>
        <v>139713.52398762837</v>
      </c>
      <c r="S9" s="27">
        <f>IF(P9="","",SUM($P$3:P9))</f>
        <v>117582.05916770609</v>
      </c>
      <c r="T9" s="27">
        <f>IF(S9="","",SUM($Q$3:Q9))</f>
        <v>22131.464819922283</v>
      </c>
    </row>
    <row r="10" spans="1:24" ht="15" thickBot="1">
      <c r="A10" s="16"/>
      <c r="B10" s="16"/>
      <c r="C10" s="16"/>
      <c r="D10" s="40" t="s">
        <v>18</v>
      </c>
      <c r="E10" s="40"/>
      <c r="F10" s="40"/>
      <c r="G10" s="40"/>
      <c r="H10" s="40"/>
      <c r="I10" s="16"/>
      <c r="J10" s="16"/>
      <c r="K10" s="16"/>
      <c r="O10" s="28">
        <f>IF(AND(I107="",H96=""),"",8)</f>
        <v>8</v>
      </c>
      <c r="P10" s="29">
        <f>IF(O10="","",SUBTOTAL(9,E96:E107))</f>
        <v>15819.664900838801</v>
      </c>
      <c r="Q10" s="29">
        <f>IF(P10="","",SUBTOTAL(9,F96:F107))</f>
        <v>4139.4099545366789</v>
      </c>
      <c r="R10" s="29">
        <f t="shared" si="0"/>
        <v>159672.59884300386</v>
      </c>
      <c r="S10" s="29">
        <f>IF(P10="","",SUM($P$3:P10))</f>
        <v>133401.72406854489</v>
      </c>
      <c r="T10" s="29">
        <f>IF(S10="","",SUM($Q$3:Q10))</f>
        <v>26270.874774458964</v>
      </c>
    </row>
    <row r="11" spans="1:24" ht="15" thickBot="1">
      <c r="D11" s="37" t="s">
        <v>19</v>
      </c>
      <c r="E11" s="38" t="s">
        <v>20</v>
      </c>
      <c r="F11" s="38" t="s">
        <v>21</v>
      </c>
      <c r="G11" s="38" t="s">
        <v>22</v>
      </c>
      <c r="H11" s="39" t="s">
        <v>23</v>
      </c>
      <c r="I11" s="2"/>
      <c r="M11" s="17" t="s">
        <v>23</v>
      </c>
      <c r="O11" s="12">
        <f>IF(AND(I119="",H108=""),"",9)</f>
        <v>9</v>
      </c>
      <c r="P11" s="27">
        <f>IF(O11="","",SUBTOTAL(9,E108:E119))</f>
        <v>15520.42662052824</v>
      </c>
      <c r="Q11" s="27">
        <f>IF(P11="","",SUBTOTAL(9,F108:F119))</f>
        <v>4438.6482348472391</v>
      </c>
      <c r="R11" s="27">
        <f t="shared" si="0"/>
        <v>179631.67369837934</v>
      </c>
      <c r="S11" s="27">
        <f>IF(P11="","",SUM($P$3:P11))</f>
        <v>148922.15068907314</v>
      </c>
      <c r="T11" s="27">
        <f>IF(S11="","",SUM($Q$3:Q11))</f>
        <v>30709.523009306202</v>
      </c>
    </row>
    <row r="12" spans="1:24" ht="15" thickBot="1">
      <c r="D12" s="30">
        <f>IF(V12&lt;=calcs!$F$4,'Loan Calculator'!V12,"")</f>
        <v>1</v>
      </c>
      <c r="E12" s="27">
        <f>IF(D8&lt;=0,$M$3-F12,$M$3-F12+D8)</f>
        <v>1458.3333333333335</v>
      </c>
      <c r="F12" s="27" cm="1">
        <f t="array" ref="F12">_xlfn.IFS(D8=0,M3-(F3*calcs!H3),D8&gt;0,D8+M3-(F3*calcs!H3))</f>
        <v>204.92290461462312</v>
      </c>
      <c r="G12" s="27">
        <f>F3-F12</f>
        <v>249795.07709538538</v>
      </c>
      <c r="H12" s="31">
        <f>IF((E12+F12)="","",E12+F12)</f>
        <v>1663.2562379479566</v>
      </c>
      <c r="I12" s="2" t="str" cm="1">
        <f t="array" ref="I12">_xlfn.IFS(OR(D12="",E12="",F12=""),"",MOD(D12,12)&lt;&gt;0,"",MOD(D12,12)=0,"Year End"&amp;" "&amp;D12/12)</f>
        <v/>
      </c>
      <c r="M12" s="20">
        <f>M6+M9</f>
        <v>598772.24566126452</v>
      </c>
      <c r="O12" s="28">
        <f>IF(AND(I131="",H120=""),"",10)</f>
        <v>10</v>
      </c>
      <c r="P12" s="29">
        <f>IF(O12="","",SUBTOTAL(9,E120:E131))</f>
        <v>15199.556380738744</v>
      </c>
      <c r="Q12" s="29">
        <f>IF(P12="","",SUBTOTAL(9,F120:F131))</f>
        <v>4759.5184746367358</v>
      </c>
      <c r="R12" s="29">
        <f t="shared" si="0"/>
        <v>199590.74855375482</v>
      </c>
      <c r="S12" s="29">
        <f>IF(P12="","",SUM($P$3:P12))</f>
        <v>164121.70706981188</v>
      </c>
      <c r="T12" s="29">
        <f>IF(S12="","",SUM($Q$3:Q12))</f>
        <v>35469.041483942936</v>
      </c>
      <c r="V12">
        <v>1</v>
      </c>
    </row>
    <row r="13" spans="1:24">
      <c r="D13" s="32">
        <f>IF(V13&lt;=calcs!$F$4,'Loan Calculator'!V13,"")</f>
        <v>2</v>
      </c>
      <c r="E13" s="29" cm="1">
        <f t="array" ref="E13">_xlfn.IFS(F13="","",G12&lt;F12,G12*calcs!$H$3,$D$8&lt;=0,$M$3-F13,$D$8&gt;0,$M$3-F13+$D$8,G12&lt;F12,G13*calcs!$H$3)</f>
        <v>1457.1379497230814</v>
      </c>
      <c r="F13" s="29" cm="1">
        <f t="array" ref="F13">_xlfn.IFS(F12="","",G12=0,"",G12&lt;1,"",G12&lt;F12,G12,AND(G12&gt;0,$D$8&gt;0),$D$8+($M$3-(G12*calcs!$H$3)),G12&gt;0,$M$3-(G12*calcs!$H$3))</f>
        <v>206.11828822487519</v>
      </c>
      <c r="G13" s="29" cm="1">
        <f t="array" ref="G13">_xlfn.IFS(F13="","",G12-F13&lt;1,0,ISBLANK(F13)=TRUE,"",G12-F13&gt;1,G12-F13)</f>
        <v>249588.9588071605</v>
      </c>
      <c r="H13" s="33">
        <f>IF(OR(H12=0,H12="",E13="",F13=""),"",H12+E13+F13)</f>
        <v>3326.5124758959128</v>
      </c>
      <c r="I13" s="2" t="str" cm="1">
        <f t="array" ref="I13">_xlfn.IFS(OR(D13="",E13="",F13=""),"",MOD(D13,12)&lt;&gt;0,"",MOD(D13,12)=0,"Year End"&amp;" "&amp;D13/12)</f>
        <v/>
      </c>
      <c r="O13" s="12">
        <f>IF(AND(I143="",H132=""),"",11)</f>
        <v>11</v>
      </c>
      <c r="P13" s="27">
        <f>IF(O13="","",SUBTOTAL(9,E132:E143))</f>
        <v>14855.490405370507</v>
      </c>
      <c r="Q13" s="27">
        <f>IF(P13="","",SUBTOTAL(9,F132:F143))</f>
        <v>5103.5844500049725</v>
      </c>
      <c r="R13" s="27">
        <f t="shared" si="0"/>
        <v>219549.8234091303</v>
      </c>
      <c r="S13" s="27">
        <f>IF(P13="","",SUM($P$3:P13))</f>
        <v>178977.19747518239</v>
      </c>
      <c r="T13" s="27">
        <f>IF(S13="","",SUM($Q$3:Q13))</f>
        <v>40572.625933947907</v>
      </c>
      <c r="V13">
        <v>2</v>
      </c>
    </row>
    <row r="14" spans="1:24">
      <c r="D14" s="30">
        <f>IF(V14&lt;=calcs!$F$4,'Loan Calculator'!V14,"")</f>
        <v>3</v>
      </c>
      <c r="E14" s="27" cm="1">
        <f t="array" ref="E14">_xlfn.IFS(F14="","",G13&lt;F13,G13*calcs!$H$3,$D$8&lt;=0,$M$3-F14,$D$8&gt;0,$M$3-F14+$D$8,G13&lt;F13,G14*calcs!$H$3)</f>
        <v>1455.9355930417696</v>
      </c>
      <c r="F14" s="27" cm="1">
        <f t="array" ref="F14">_xlfn.IFS(F13="","",G13=0,"",G13&lt;1,"",G13&lt;F13,G13,AND(G13&gt;0,$D$8&gt;0),$D$8+($M$3-(G13*calcs!$H$3)),G13&gt;0,$M$3-(G13*calcs!$H$3))</f>
        <v>207.320644906187</v>
      </c>
      <c r="G14" s="27" cm="1">
        <f t="array" ref="G14">_xlfn.IFS(F14="","",G13-F14&lt;1,0,ISBLANK(F14)=TRUE,"",G13-F14&gt;1,G13-F14)</f>
        <v>249381.6381622543</v>
      </c>
      <c r="H14" s="31">
        <f t="shared" ref="H14:H77" si="1">IF(OR(H13=0,H13="",E14="",F14=""),"",H13+E14+F14)</f>
        <v>4989.7687138438696</v>
      </c>
      <c r="I14" s="2" t="str" cm="1">
        <f t="array" ref="I14">_xlfn.IFS(OR(D14="",E14="",F14=""),"",MOD(D14,12)&lt;&gt;0,"",MOD(D14,12)=0,"Year End"&amp;" "&amp;D14/12)</f>
        <v/>
      </c>
      <c r="O14" s="28">
        <f>IF(AND(I155="",H144=""),"",12)</f>
        <v>12</v>
      </c>
      <c r="P14" s="29">
        <f>IF(O14="","",SUBTOTAL(9,E144:E155))</f>
        <v>14486.551872823024</v>
      </c>
      <c r="Q14" s="29">
        <f>IF(P14="","",SUBTOTAL(9,F144:F155))</f>
        <v>5472.5229825524584</v>
      </c>
      <c r="R14" s="29">
        <f t="shared" si="0"/>
        <v>239508.89826450578</v>
      </c>
      <c r="S14" s="29">
        <f>IF(P14="","",SUM($P$3:P14))</f>
        <v>193463.7493480054</v>
      </c>
      <c r="T14" s="29">
        <f>IF(S14="","",SUM($Q$3:Q14))</f>
        <v>46045.148916500366</v>
      </c>
      <c r="V14">
        <v>3</v>
      </c>
    </row>
    <row r="15" spans="1:24">
      <c r="D15" s="32">
        <f>IF(V15&lt;=calcs!$F$4,'Loan Calculator'!V15,"")</f>
        <v>4</v>
      </c>
      <c r="E15" s="29" cm="1">
        <f t="array" ref="E15">_xlfn.IFS(F15="","",G14&lt;F14,G14*calcs!$H$3,$D$8&lt;=0,$M$3-F15,$D$8&gt;0,$M$3-F15+$D$8,G14&lt;F14,G15*calcs!$H$3)</f>
        <v>1454.7262226131502</v>
      </c>
      <c r="F15" s="29" cm="1">
        <f t="array" ref="F15">_xlfn.IFS(F14="","",G14=0,"",G14&lt;1,"",G14&lt;F14,G14,AND(G14&gt;0,$D$8&gt;0),$D$8+($M$3-(G14*calcs!$H$3)),G14&gt;0,$M$3-(G14*calcs!$H$3))</f>
        <v>208.53001533480642</v>
      </c>
      <c r="G15" s="29" cm="1">
        <f t="array" ref="G15">_xlfn.IFS(F15="","",G14-F15&lt;1,0,ISBLANK(F15)=TRUE,"",G14-F15&gt;1,G14-F15)</f>
        <v>249173.10814691949</v>
      </c>
      <c r="H15" s="33">
        <f t="shared" si="1"/>
        <v>6653.0249517918264</v>
      </c>
      <c r="I15" s="2" t="str" cm="1">
        <f t="array" ref="I15">_xlfn.IFS(OR(D15="",E15="",F15=""),"",MOD(D15,12)&lt;&gt;0,"",MOD(D15,12)=0,"Year End"&amp;" "&amp;D15/12)</f>
        <v/>
      </c>
      <c r="O15" s="12">
        <f>IF(AND(I167="",H156=""),"",13)</f>
        <v>13</v>
      </c>
      <c r="P15" s="27">
        <f>IF(O15="","",SUBTOTAL(9,E156:E167))</f>
        <v>14090.942743926696</v>
      </c>
      <c r="Q15" s="27">
        <f>IF(P15="","",SUBTOTAL(9,F156:F167))</f>
        <v>5868.1321114487855</v>
      </c>
      <c r="R15" s="27">
        <f t="shared" si="0"/>
        <v>259467.97311988127</v>
      </c>
      <c r="S15" s="27">
        <f>IF(P15="","",SUM($P$3:P15))</f>
        <v>207554.69209193208</v>
      </c>
      <c r="T15" s="27">
        <f>IF(S15="","",SUM($Q$3:Q15))</f>
        <v>51913.281027949153</v>
      </c>
      <c r="V15">
        <v>4</v>
      </c>
    </row>
    <row r="16" spans="1:24">
      <c r="D16" s="30">
        <f>IF(V16&lt;=calcs!$F$4,'Loan Calculator'!V16,"")</f>
        <v>5</v>
      </c>
      <c r="E16" s="27" cm="1">
        <f t="array" ref="E16">_xlfn.IFS(F16="","",G15&lt;F15,G15*calcs!$H$3,$D$8&lt;=0,$M$3-F16,$D$8&gt;0,$M$3-F16+$D$8,G15&lt;F15,G16*calcs!$H$3)</f>
        <v>1453.509797523697</v>
      </c>
      <c r="F16" s="27" cm="1">
        <f t="array" ref="F16">_xlfn.IFS(F15="","",G15=0,"",G15&lt;1,"",G15&lt;F15,G15,AND(G15&gt;0,$D$8&gt;0),$D$8+($M$3-(G15*calcs!$H$3)),G15&gt;0,$M$3-(G15*calcs!$H$3))</f>
        <v>209.74644042425962</v>
      </c>
      <c r="G16" s="27" cm="1">
        <f t="array" ref="G16">_xlfn.IFS(F16="","",G15-F16&lt;1,0,ISBLANK(F16)=TRUE,"",G15-F16&gt;1,G15-F16)</f>
        <v>248963.36170649523</v>
      </c>
      <c r="H16" s="31">
        <f t="shared" si="1"/>
        <v>8316.2811897397823</v>
      </c>
      <c r="I16" s="2" t="str" cm="1">
        <f t="array" ref="I16">_xlfn.IFS(OR(D16="",E16="",F16=""),"",MOD(D16,12)&lt;&gt;0,"",MOD(D16,12)=0,"Year End"&amp;" "&amp;D16/12)</f>
        <v/>
      </c>
      <c r="O16" s="28">
        <f>IF(AND(I179="",H168=""),"",14)</f>
        <v>14</v>
      </c>
      <c r="P16" s="29">
        <f>IF(O16="","",SUBTOTAL(9,E168:E179))</f>
        <v>13666.734999114986</v>
      </c>
      <c r="Q16" s="29">
        <f>IF(P16="","",SUBTOTAL(9,F168:F179))</f>
        <v>6292.3398562604943</v>
      </c>
      <c r="R16" s="29">
        <f t="shared" si="0"/>
        <v>279427.04797525675</v>
      </c>
      <c r="S16" s="29">
        <f>IF(P16="","",SUM($P$3:P16))</f>
        <v>221221.42709104708</v>
      </c>
      <c r="T16" s="29">
        <f>IF(S16="","",SUM($Q$3:Q16))</f>
        <v>58205.620884209646</v>
      </c>
      <c r="V16">
        <v>5</v>
      </c>
    </row>
    <row r="17" spans="4:22">
      <c r="D17" s="32">
        <f>IF(V17&lt;=calcs!$F$4,'Loan Calculator'!V17,"")</f>
        <v>6</v>
      </c>
      <c r="E17" s="29" cm="1">
        <f t="array" ref="E17">_xlfn.IFS(F17="","",G16&lt;F16,G16*calcs!$H$3,$D$8&lt;=0,$M$3-F17,$D$8&gt;0,$M$3-F17+$D$8,G16&lt;F16,G17*calcs!$H$3)</f>
        <v>1452.2862766212222</v>
      </c>
      <c r="F17" s="29" cm="1">
        <f t="array" ref="F17">_xlfn.IFS(F16="","",G16=0,"",G16&lt;1,"",G16&lt;F16,G16,AND(G16&gt;0,$D$8&gt;0),$D$8+($M$3-(G16*calcs!$H$3)),G16&gt;0,$M$3-(G16*calcs!$H$3))</f>
        <v>210.96996132673439</v>
      </c>
      <c r="G17" s="29" cm="1">
        <f t="array" ref="G17">_xlfn.IFS(F17="","",G16-F17&lt;1,0,ISBLANK(F17)=TRUE,"",G16-F17&gt;1,G16-F17)</f>
        <v>248752.39174516848</v>
      </c>
      <c r="H17" s="33">
        <f t="shared" si="1"/>
        <v>9979.5374276877392</v>
      </c>
      <c r="I17" s="2" t="str" cm="1">
        <f t="array" ref="I17">_xlfn.IFS(OR(D17="",E17="",F17=""),"",MOD(D17,12)&lt;&gt;0,"",MOD(D17,12)=0,"Year End"&amp;" "&amp;D17/12)</f>
        <v/>
      </c>
      <c r="O17" s="12">
        <f>IF(AND(I191="",H180=""),"",15)</f>
        <v>15</v>
      </c>
      <c r="P17" s="27">
        <f>IF(O17="","",SUBTOTAL(9,E180:E191))</f>
        <v>13211.861242131004</v>
      </c>
      <c r="Q17" s="27">
        <f>IF(P17="","",SUBTOTAL(9,F180:F191))</f>
        <v>6747.2136132444739</v>
      </c>
      <c r="R17" s="27">
        <f t="shared" si="0"/>
        <v>299386.1228306322</v>
      </c>
      <c r="S17" s="27">
        <f>IF(P17="","",SUM($P$3:P17))</f>
        <v>234433.28833317809</v>
      </c>
      <c r="T17" s="27">
        <f>IF(S17="","",SUM($Q$3:Q17))</f>
        <v>64952.834497454118</v>
      </c>
      <c r="V17">
        <v>6</v>
      </c>
    </row>
    <row r="18" spans="4:22">
      <c r="D18" s="30">
        <f>IF(V18&lt;=calcs!$F$4,'Loan Calculator'!V18,"")</f>
        <v>7</v>
      </c>
      <c r="E18" s="27" cm="1">
        <f t="array" ref="E18">_xlfn.IFS(F18="","",G17&lt;F17,G17*calcs!$H$3,$D$8&lt;=0,$M$3-F18,$D$8&gt;0,$M$3-F18+$D$8,G17&lt;F17,G18*calcs!$H$3)</f>
        <v>1451.0556185134828</v>
      </c>
      <c r="F18" s="27" cm="1">
        <f t="array" ref="F18">_xlfn.IFS(F17="","",G17=0,"",G17&lt;1,"",G17&lt;F17,G17,AND(G17&gt;0,$D$8&gt;0),$D$8+($M$3-(G17*calcs!$H$3)),G17&gt;0,$M$3-(G17*calcs!$H$3))</f>
        <v>212.20061943447377</v>
      </c>
      <c r="G18" s="27" cm="1">
        <f t="array" ref="G18">_xlfn.IFS(F18="","",G17-F18&lt;1,0,ISBLANK(F18)=TRUE,"",G17-F18&gt;1,G17-F18)</f>
        <v>248540.19112573401</v>
      </c>
      <c r="H18" s="31">
        <f t="shared" si="1"/>
        <v>11642.793665635696</v>
      </c>
      <c r="I18" s="2" t="str" cm="1">
        <f t="array" ref="I18">_xlfn.IFS(OR(D18="",E18="",F18=""),"",MOD(D18,12)&lt;&gt;0,"",MOD(D18,12)=0,"Year End"&amp;" "&amp;D18/12)</f>
        <v/>
      </c>
      <c r="O18" s="28">
        <f>IF(AND(I203="",H192=""),"",16)</f>
        <v>16</v>
      </c>
      <c r="P18" s="29">
        <f>IF(O18="","",SUBTOTAL(9,E192:E203))</f>
        <v>12724.104624475267</v>
      </c>
      <c r="Q18" s="29">
        <f>IF(P18="","",SUBTOTAL(9,F192:F203))</f>
        <v>7234.9702309002114</v>
      </c>
      <c r="R18" s="29">
        <f t="shared" si="0"/>
        <v>319345.19768600765</v>
      </c>
      <c r="S18" s="29">
        <f>IF(P18="","",SUM($P$3:P18))</f>
        <v>247157.39295765336</v>
      </c>
      <c r="T18" s="29">
        <f>IF(S18="","",SUM($Q$3:Q18))</f>
        <v>72187.804728354327</v>
      </c>
      <c r="V18">
        <v>7</v>
      </c>
    </row>
    <row r="19" spans="4:22">
      <c r="D19" s="32">
        <f>IF(V19&lt;=calcs!$F$4,'Loan Calculator'!V19,"")</f>
        <v>8</v>
      </c>
      <c r="E19" s="29" cm="1">
        <f t="array" ref="E19">_xlfn.IFS(F19="","",G18&lt;F18,G18*calcs!$H$3,$D$8&lt;=0,$M$3-F19,$D$8&gt;0,$M$3-F19+$D$8,G18&lt;F18,G19*calcs!$H$3)</f>
        <v>1449.8177815667818</v>
      </c>
      <c r="F19" s="29" cm="1">
        <f t="array" ref="F19">_xlfn.IFS(F18="","",G18=0,"",G18&lt;1,"",G18&lt;F18,G18,AND(G18&gt;0,$D$8&gt;0),$D$8+($M$3-(G18*calcs!$H$3)),G18&gt;0,$M$3-(G18*calcs!$H$3))</f>
        <v>213.43845638117477</v>
      </c>
      <c r="G19" s="29" cm="1">
        <f t="array" ref="G19">_xlfn.IFS(F19="","",G18-F19&lt;1,0,ISBLANK(F19)=TRUE,"",G18-F19&gt;1,G18-F19)</f>
        <v>248326.75266935283</v>
      </c>
      <c r="H19" s="33">
        <f t="shared" si="1"/>
        <v>13306.049903583653</v>
      </c>
      <c r="I19" s="2" t="str" cm="1">
        <f t="array" ref="I19">_xlfn.IFS(OR(D19="",E19="",F19=""),"",MOD(D19,12)&lt;&gt;0,"",MOD(D19,12)=0,"Year End"&amp;" "&amp;D19/12)</f>
        <v/>
      </c>
      <c r="O19" s="12">
        <f>IF(AND(I215="",H204=""),"",17)</f>
        <v>17</v>
      </c>
      <c r="P19" s="27">
        <f>IF(O19="","",SUBTOTAL(9,E204:E215))</f>
        <v>12201.088041491037</v>
      </c>
      <c r="Q19" s="27">
        <f>IF(P19="","",SUBTOTAL(9,F204:F215))</f>
        <v>7757.9868138844413</v>
      </c>
      <c r="R19" s="27">
        <f t="shared" si="0"/>
        <v>339304.27254138311</v>
      </c>
      <c r="S19" s="27">
        <f>IF(P19="","",SUM($P$3:P19))</f>
        <v>259358.48099914441</v>
      </c>
      <c r="T19" s="27">
        <f>IF(S19="","",SUM($Q$3:Q19))</f>
        <v>79945.791542238774</v>
      </c>
      <c r="V19">
        <v>8</v>
      </c>
    </row>
    <row r="20" spans="4:22">
      <c r="D20" s="30">
        <f>IF(V20&lt;=calcs!$F$4,'Loan Calculator'!V20,"")</f>
        <v>9</v>
      </c>
      <c r="E20" s="27" cm="1">
        <f t="array" ref="E20">_xlfn.IFS(F20="","",G19&lt;F19,G19*calcs!$H$3,$D$8&lt;=0,$M$3-F20,$D$8&gt;0,$M$3-F20+$D$8,G19&lt;F19,G20*calcs!$H$3)</f>
        <v>1448.5727239045582</v>
      </c>
      <c r="F20" s="27" cm="1">
        <f t="array" ref="F20">_xlfn.IFS(F19="","",G19=0,"",G19&lt;1,"",G19&lt;F19,G19,AND(G19&gt;0,$D$8&gt;0),$D$8+($M$3-(G19*calcs!$H$3)),G19&gt;0,$M$3-(G19*calcs!$H$3))</f>
        <v>214.68351404339842</v>
      </c>
      <c r="G20" s="27" cm="1">
        <f t="array" ref="G20">_xlfn.IFS(F20="","",G19-F20&lt;1,0,ISBLANK(F20)=TRUE,"",G19-F20&gt;1,G19-F20)</f>
        <v>248112.06915530944</v>
      </c>
      <c r="H20" s="31">
        <f t="shared" si="1"/>
        <v>14969.306141531608</v>
      </c>
      <c r="I20" s="2" t="str" cm="1">
        <f t="array" ref="I20">_xlfn.IFS(OR(D20="",E20="",F20=""),"",MOD(D20,12)&lt;&gt;0,"",MOD(D20,12)=0,"Year End"&amp;" "&amp;D20/12)</f>
        <v/>
      </c>
      <c r="O20" s="28">
        <f>IF(AND(I227="",H216=""),"",18)</f>
        <v>18</v>
      </c>
      <c r="P20" s="29">
        <f>IF(O20="","",SUBTOTAL(9,E216:E227))</f>
        <v>11640.26254743372</v>
      </c>
      <c r="Q20" s="29">
        <f>IF(P20="","",SUBTOTAL(9,F216:F227))</f>
        <v>8318.8123079417619</v>
      </c>
      <c r="R20" s="29">
        <f t="shared" si="0"/>
        <v>359263.34739675862</v>
      </c>
      <c r="S20" s="29">
        <f>IF(P20="","",SUM($P$3:P20))</f>
        <v>270998.7435465781</v>
      </c>
      <c r="T20" s="29">
        <f>IF(S20="","",SUM($Q$3:Q20))</f>
        <v>88264.603850180531</v>
      </c>
      <c r="V20">
        <v>9</v>
      </c>
    </row>
    <row r="21" spans="4:22">
      <c r="D21" s="32">
        <f>IF(V21&lt;=calcs!$F$4,'Loan Calculator'!V21,"")</f>
        <v>10</v>
      </c>
      <c r="E21" s="29" cm="1">
        <f t="array" ref="E21">_xlfn.IFS(F21="","",G20&lt;F20,G20*calcs!$H$3,$D$8&lt;=0,$M$3-F21,$D$8&gt;0,$M$3-F21+$D$8,G20&lt;F20,G21*calcs!$H$3)</f>
        <v>1447.3204034059718</v>
      </c>
      <c r="F21" s="29" cm="1">
        <f t="array" ref="F21">_xlfn.IFS(F20="","",G20=0,"",G20&lt;1,"",G20&lt;F20,G20,AND(G20&gt;0,$D$8&gt;0),$D$8+($M$3-(G20*calcs!$H$3)),G20&gt;0,$M$3-(G20*calcs!$H$3))</f>
        <v>215.93583454198483</v>
      </c>
      <c r="G21" s="29" cm="1">
        <f t="array" ref="G21">_xlfn.IFS(F21="","",G20-F21&lt;1,0,ISBLANK(F21)=TRUE,"",G20-F21&gt;1,G20-F21)</f>
        <v>247896.13332076746</v>
      </c>
      <c r="H21" s="33">
        <f t="shared" si="1"/>
        <v>16632.562379479565</v>
      </c>
      <c r="I21" s="2" t="str" cm="1">
        <f t="array" ref="I21">_xlfn.IFS(OR(D21="",E21="",F21=""),"",MOD(D21,12)&lt;&gt;0,"",MOD(D21,12)=0,"Year End"&amp;" "&amp;D21/12)</f>
        <v/>
      </c>
      <c r="O21" s="12">
        <f>IF(AND(I239="",H228=""),"",19)</f>
        <v>19</v>
      </c>
      <c r="P21" s="27">
        <f>IF(O21="","",SUBTOTAL(9,E228:E239))</f>
        <v>11038.894933064759</v>
      </c>
      <c r="Q21" s="27">
        <f>IF(P21="","",SUBTOTAL(9,F228:F239))</f>
        <v>8920.1799223107191</v>
      </c>
      <c r="R21" s="27">
        <f t="shared" si="0"/>
        <v>379222.42225213407</v>
      </c>
      <c r="S21" s="27">
        <f>IF(P21="","",SUM($P$3:P21))</f>
        <v>282037.63847964286</v>
      </c>
      <c r="T21" s="27">
        <f>IF(S21="","",SUM($Q$3:Q21))</f>
        <v>97184.783772491253</v>
      </c>
      <c r="V21">
        <v>10</v>
      </c>
    </row>
    <row r="22" spans="4:22">
      <c r="D22" s="30">
        <f>IF(V22&lt;=calcs!$F$4,'Loan Calculator'!V22,"")</f>
        <v>11</v>
      </c>
      <c r="E22" s="27" cm="1">
        <f t="array" ref="E22">_xlfn.IFS(F22="","",G21&lt;F21,G21*calcs!$H$3,$D$8&lt;=0,$M$3-F22,$D$8&gt;0,$M$3-F22+$D$8,G21&lt;F21,G22*calcs!$H$3)</f>
        <v>1446.060777704477</v>
      </c>
      <c r="F22" s="27" cm="1">
        <f t="array" ref="F22">_xlfn.IFS(F21="","",G21=0,"",G21&lt;1,"",G21&lt;F21,G21,AND(G21&gt;0,$D$8&gt;0),$D$8+($M$3-(G21*calcs!$H$3)),G21&gt;0,$M$3-(G21*calcs!$H$3))</f>
        <v>217.1954602434796</v>
      </c>
      <c r="G22" s="27" cm="1">
        <f t="array" ref="G22">_xlfn.IFS(F22="","",G21-F22&lt;1,0,ISBLANK(F22)=TRUE,"",G21-F22&gt;1,G21-F22)</f>
        <v>247678.93786052399</v>
      </c>
      <c r="H22" s="31">
        <f t="shared" si="1"/>
        <v>18295.818617427518</v>
      </c>
      <c r="I22" s="2" t="str" cm="1">
        <f t="array" ref="I22">_xlfn.IFS(OR(D22="",E22="",F22=""),"",MOD(D22,12)&lt;&gt;0,"",MOD(D22,12)=0,"Year End"&amp;" "&amp;D22/12)</f>
        <v/>
      </c>
      <c r="O22" s="28">
        <f>IF(AND(I251="",H240=""),"",20)</f>
        <v>20</v>
      </c>
      <c r="P22" s="29">
        <f>IF(O22="","",SUBTOTAL(9,E240:E251))</f>
        <v>10394.054405228748</v>
      </c>
      <c r="Q22" s="29">
        <f>IF(P22="","",SUBTOTAL(9,F240:F251))</f>
        <v>9565.0204501467324</v>
      </c>
      <c r="R22" s="29">
        <f t="shared" si="0"/>
        <v>399181.49710750952</v>
      </c>
      <c r="S22" s="29">
        <f>IF(P22="","",SUM($P$3:P22))</f>
        <v>292431.69288487162</v>
      </c>
      <c r="T22" s="29">
        <f>IF(S22="","",SUM($Q$3:Q22))</f>
        <v>106749.80422263799</v>
      </c>
      <c r="V22">
        <v>11</v>
      </c>
    </row>
    <row r="23" spans="4:22">
      <c r="D23" s="32">
        <f>IF(V23&lt;=calcs!$F$4,'Loan Calculator'!V23,"")</f>
        <v>12</v>
      </c>
      <c r="E23" s="29" cm="1">
        <f t="array" ref="E23">_xlfn.IFS(F23="","",G22&lt;F22,G22*calcs!$H$3,$D$8&lt;=0,$M$3-F23,$D$8&gt;0,$M$3-F23+$D$8,G22&lt;F22,G23*calcs!$H$3)</f>
        <v>1444.7938041863899</v>
      </c>
      <c r="F23" s="29" cm="1">
        <f t="array" ref="F23">_xlfn.IFS(F22="","",G22=0,"",G22&lt;1,"",G22&lt;F22,G22,AND(G22&gt;0,$D$8&gt;0),$D$8+($M$3-(G22*calcs!$H$3)),G22&gt;0,$M$3-(G22*calcs!$H$3))</f>
        <v>218.46243376156667</v>
      </c>
      <c r="G23" s="29" cm="1">
        <f t="array" ref="G23">_xlfn.IFS(F23="","",G22-F23&lt;1,0,ISBLANK(F23)=TRUE,"",G22-F23&gt;1,G22-F23)</f>
        <v>247460.47542676242</v>
      </c>
      <c r="H23" s="33">
        <f t="shared" si="1"/>
        <v>19959.074855375475</v>
      </c>
      <c r="I23" s="2" t="str" cm="1">
        <f t="array" ref="I23">_xlfn.IFS(OR(D23="",E23="",F23=""),"",MOD(D23,12)&lt;&gt;0,"",MOD(D23,12)=0,"Year End"&amp;" "&amp;D23/12)</f>
        <v>Year End 1</v>
      </c>
      <c r="O23" s="12">
        <f>IF(AND(I263="",H252=""),"",21)</f>
        <v>21</v>
      </c>
      <c r="P23" s="27">
        <f>IF(O23="","",SUBTOTAL(9,E252:E263))</f>
        <v>9702.5983034960955</v>
      </c>
      <c r="Q23" s="27">
        <f>IF(P23="","",SUBTOTAL(9,F252:F263))</f>
        <v>10256.476551879383</v>
      </c>
      <c r="R23" s="27">
        <f t="shared" si="0"/>
        <v>419140.57196288498</v>
      </c>
      <c r="S23" s="27">
        <f>IF(P23="","",SUM($P$3:P23))</f>
        <v>302134.2911883677</v>
      </c>
      <c r="T23" s="27">
        <f>IF(S23="","",SUM($Q$3:Q23))</f>
        <v>117006.28077451738</v>
      </c>
      <c r="V23">
        <v>12</v>
      </c>
    </row>
    <row r="24" spans="4:22">
      <c r="D24" s="30">
        <f>IF(V24&lt;=calcs!$F$4,'Loan Calculator'!V24,"")</f>
        <v>13</v>
      </c>
      <c r="E24" s="27" cm="1">
        <f t="array" ref="E24">_xlfn.IFS(F24="","",G23&lt;F23,G23*calcs!$H$3,$D$8&lt;=0,$M$3-F24,$D$8&gt;0,$M$3-F24+$D$8,G23&lt;F23,G24*calcs!$H$3)</f>
        <v>1443.5194399894476</v>
      </c>
      <c r="F24" s="27" cm="1">
        <f t="array" ref="F24">_xlfn.IFS(F23="","",G23=0,"",G23&lt;1,"",G23&lt;F23,G23,AND(G23&gt;0,$D$8&gt;0),$D$8+($M$3-(G23*calcs!$H$3)),G23&gt;0,$M$3-(G23*calcs!$H$3))</f>
        <v>219.73679795850899</v>
      </c>
      <c r="G24" s="27" cm="1">
        <f t="array" ref="G24">_xlfn.IFS(F24="","",G23-F24&lt;1,0,ISBLANK(F24)=TRUE,"",G23-F24&gt;1,G23-F24)</f>
        <v>247240.73862880393</v>
      </c>
      <c r="H24" s="31">
        <f t="shared" si="1"/>
        <v>21622.331093323432</v>
      </c>
      <c r="I24" s="2" t="str" cm="1">
        <f t="array" ref="I24">_xlfn.IFS(OR(D24="",E24="",F24=""),"",MOD(D24,12)&lt;&gt;0,"",MOD(D24,12)=0,"Year End"&amp;" "&amp;D24/12)</f>
        <v/>
      </c>
      <c r="O24" s="28">
        <f>IF(AND(I275="",H264=""),"",22)</f>
        <v>22</v>
      </c>
      <c r="P24" s="29">
        <f>IF(O24="","",SUBTOTAL(9,E264:E275))</f>
        <v>8961.1567842606473</v>
      </c>
      <c r="Q24" s="29">
        <f>IF(P24="","",SUBTOTAL(9,F264:F275))</f>
        <v>10997.918071114831</v>
      </c>
      <c r="R24" s="29">
        <f t="shared" si="0"/>
        <v>439099.64681826043</v>
      </c>
      <c r="S24" s="29">
        <f>IF(P24="","",SUM($P$3:P24))</f>
        <v>311095.44797262835</v>
      </c>
      <c r="T24" s="29">
        <f>IF(S24="","",SUM($Q$3:Q24))</f>
        <v>128004.19884563221</v>
      </c>
      <c r="V24">
        <v>13</v>
      </c>
    </row>
    <row r="25" spans="4:22">
      <c r="D25" s="32">
        <f>IF(V25&lt;=calcs!$F$4,'Loan Calculator'!V25,"")</f>
        <v>14</v>
      </c>
      <c r="E25" s="29" cm="1">
        <f t="array" ref="E25">_xlfn.IFS(F25="","",G24&lt;F24,G24*calcs!$H$3,$D$8&lt;=0,$M$3-F25,$D$8&gt;0,$M$3-F25+$D$8,G24&lt;F24,G25*calcs!$H$3)</f>
        <v>1442.2376420013563</v>
      </c>
      <c r="F25" s="29" cm="1">
        <f t="array" ref="F25">_xlfn.IFS(F24="","",G24=0,"",G24&lt;1,"",G24&lt;F24,G24,AND(G24&gt;0,$D$8&gt;0),$D$8+($M$3-(G24*calcs!$H$3)),G24&gt;0,$M$3-(G24*calcs!$H$3))</f>
        <v>221.01859594660027</v>
      </c>
      <c r="G25" s="29" cm="1">
        <f t="array" ref="G25">_xlfn.IFS(F25="","",G24-F25&lt;1,0,ISBLANK(F25)=TRUE,"",G24-F25&gt;1,G24-F25)</f>
        <v>247019.72003285732</v>
      </c>
      <c r="H25" s="33">
        <f t="shared" si="1"/>
        <v>23285.587331271388</v>
      </c>
      <c r="I25" s="2" t="str" cm="1">
        <f t="array" ref="I25">_xlfn.IFS(OR(D25="",E25="",F25=""),"",MOD(D25,12)&lt;&gt;0,"",MOD(D25,12)=0,"Year End"&amp;" "&amp;D25/12)</f>
        <v/>
      </c>
      <c r="O25" s="12">
        <f>IF(AND(I287="",H276=""),"",23)</f>
        <v>23</v>
      </c>
      <c r="P25" s="27">
        <f>IF(O25="","",SUBTOTAL(9,E276:E287))</f>
        <v>8166.116397649499</v>
      </c>
      <c r="Q25" s="27">
        <f>IF(P25="","",SUBTOTAL(9,F276:F287))</f>
        <v>11792.958457725979</v>
      </c>
      <c r="R25" s="27">
        <f t="shared" si="0"/>
        <v>459058.72167363588</v>
      </c>
      <c r="S25" s="27">
        <f>IF(P25="","",SUM($P$3:P25))</f>
        <v>319261.56437027786</v>
      </c>
      <c r="T25" s="27">
        <f>IF(S25="","",SUM($Q$3:Q25))</f>
        <v>139797.1573033582</v>
      </c>
      <c r="V25">
        <v>14</v>
      </c>
    </row>
    <row r="26" spans="4:22">
      <c r="D26" s="30">
        <f>IF(V26&lt;=calcs!$F$4,'Loan Calculator'!V26,"")</f>
        <v>15</v>
      </c>
      <c r="E26" s="27" cm="1">
        <f t="array" ref="E26">_xlfn.IFS(F26="","",G25&lt;F25,G25*calcs!$H$3,$D$8&lt;=0,$M$3-F26,$D$8&gt;0,$M$3-F26+$D$8,G25&lt;F25,G26*calcs!$H$3)</f>
        <v>1440.9483668583346</v>
      </c>
      <c r="F26" s="27" cm="1">
        <f t="array" ref="F26">_xlfn.IFS(F25="","",G25=0,"",G25&lt;1,"",G25&lt;F25,G25,AND(G25&gt;0,$D$8&gt;0),$D$8+($M$3-(G25*calcs!$H$3)),G25&gt;0,$M$3-(G25*calcs!$H$3))</f>
        <v>222.30787108962204</v>
      </c>
      <c r="G26" s="27" cm="1">
        <f t="array" ref="G26">_xlfn.IFS(F26="","",G25-F26&lt;1,0,ISBLANK(F26)=TRUE,"",G25-F26&gt;1,G25-F26)</f>
        <v>246797.41216176772</v>
      </c>
      <c r="H26" s="31">
        <f t="shared" si="1"/>
        <v>24948.843569219345</v>
      </c>
      <c r="I26" s="2" t="str" cm="1">
        <f t="array" ref="I26">_xlfn.IFS(OR(D26="",E26="",F26=""),"",MOD(D26,12)&lt;&gt;0,"",MOD(D26,12)=0,"Year End"&amp;" "&amp;D26/12)</f>
        <v/>
      </c>
      <c r="O26" s="28">
        <f>IF(AND(I299="",H388=""),"",24)</f>
        <v>24</v>
      </c>
      <c r="P26" s="29">
        <f>IF(O26="","",SUBTOTAL(9,E288:E299))</f>
        <v>7313.6024772062601</v>
      </c>
      <c r="Q26" s="29">
        <f>IF(P26="","",SUBTOTAL(9,F288:F299))</f>
        <v>12645.472378169219</v>
      </c>
      <c r="R26" s="29">
        <f t="shared" si="0"/>
        <v>479017.79652901134</v>
      </c>
      <c r="S26" s="29">
        <f>IF(P26="","",SUM($P$3:P26))</f>
        <v>326575.16684748413</v>
      </c>
      <c r="T26" s="29">
        <f>IF(S26="","",SUM($Q$3:Q26))</f>
        <v>152442.62968152741</v>
      </c>
      <c r="V26">
        <v>15</v>
      </c>
    </row>
    <row r="27" spans="4:22">
      <c r="D27" s="32">
        <f>IF(V27&lt;=calcs!$F$4,'Loan Calculator'!V27,"")</f>
        <v>16</v>
      </c>
      <c r="E27" s="29" cm="1">
        <f t="array" ref="E27">_xlfn.IFS(F27="","",G26&lt;F26,G26*calcs!$H$3,$D$8&lt;=0,$M$3-F27,$D$8&gt;0,$M$3-F27+$D$8,G26&lt;F26,G27*calcs!$H$3)</f>
        <v>1439.6515709436451</v>
      </c>
      <c r="F27" s="29" cm="1">
        <f t="array" ref="F27">_xlfn.IFS(F26="","",G26=0,"",G26&lt;1,"",G26&lt;F26,G26,AND(G26&gt;0,$D$8&gt;0),$D$8+($M$3-(G26*calcs!$H$3)),G26&gt;0,$M$3-(G26*calcs!$H$3))</f>
        <v>223.60466700431152</v>
      </c>
      <c r="G27" s="29" cm="1">
        <f t="array" ref="G27">_xlfn.IFS(F27="","",G26-F27&lt;1,0,ISBLANK(F27)=TRUE,"",G26-F27&gt;1,G26-F27)</f>
        <v>246573.8074947634</v>
      </c>
      <c r="H27" s="33">
        <f t="shared" si="1"/>
        <v>26612.099807167302</v>
      </c>
      <c r="I27" s="2" t="str" cm="1">
        <f t="array" ref="I27">_xlfn.IFS(OR(D27="",E27="",F27=""),"",MOD(D27,12)&lt;&gt;0,"",MOD(D27,12)=0,"Year End"&amp;" "&amp;D27/12)</f>
        <v/>
      </c>
      <c r="O27" s="12">
        <f>IF(AND(I311="",H300=""),"",25)</f>
        <v>25</v>
      </c>
      <c r="P27" s="27">
        <f>IF(O27="","",SUBTOTAL(9,E300:E311))</f>
        <v>6399.4602565231125</v>
      </c>
      <c r="Q27" s="27">
        <f>IF(P27="","",SUBTOTAL(9,F300:F311))</f>
        <v>13559.614598852366</v>
      </c>
      <c r="R27" s="27">
        <f t="shared" si="0"/>
        <v>498976.87138438679</v>
      </c>
      <c r="S27" s="27">
        <f>IF(P27="","",SUM($P$3:P27))</f>
        <v>332974.62710400723</v>
      </c>
      <c r="T27" s="27">
        <f>IF(S27="","",SUM($Q$3:Q27))</f>
        <v>166002.24428037979</v>
      </c>
      <c r="V27">
        <v>16</v>
      </c>
    </row>
    <row r="28" spans="4:22">
      <c r="D28" s="30">
        <f>IF(V28&lt;=calcs!$F$4,'Loan Calculator'!V28,"")</f>
        <v>17</v>
      </c>
      <c r="E28" s="27" cm="1">
        <f t="array" ref="E28">_xlfn.IFS(F28="","",G27&lt;F27,G27*calcs!$H$3,$D$8&lt;=0,$M$3-F28,$D$8&gt;0,$M$3-F28+$D$8,G27&lt;F27,G28*calcs!$H$3)</f>
        <v>1438.34721038612</v>
      </c>
      <c r="F28" s="27" cm="1">
        <f t="array" ref="F28">_xlfn.IFS(F27="","",G27=0,"",G27&lt;1,"",G27&lt;F27,G27,AND(G27&gt;0,$D$8&gt;0),$D$8+($M$3-(G27*calcs!$H$3)),G27&gt;0,$M$3-(G27*calcs!$H$3))</f>
        <v>224.90902756183664</v>
      </c>
      <c r="G28" s="27" cm="1">
        <f t="array" ref="G28">_xlfn.IFS(F28="","",G27-F28&lt;1,0,ISBLANK(F28)=TRUE,"",G27-F28&gt;1,G27-F28)</f>
        <v>246348.89846720156</v>
      </c>
      <c r="H28" s="31">
        <f t="shared" si="1"/>
        <v>28275.356045115259</v>
      </c>
      <c r="I28" s="2" t="str" cm="1">
        <f t="array" ref="I28">_xlfn.IFS(OR(D28="",E28="",F28=""),"",MOD(D28,12)&lt;&gt;0,"",MOD(D28,12)=0,"Year End"&amp;" "&amp;D28/12)</f>
        <v/>
      </c>
      <c r="O28" s="28">
        <f>IF(AND(I323="",H312=""),"",26)</f>
        <v>26</v>
      </c>
      <c r="P28" s="29">
        <f>IF(O28="","",SUBTOTAL(9,E312:E323))</f>
        <v>5419.2346207926803</v>
      </c>
      <c r="Q28" s="29">
        <f>IF(P28="","",SUBTOTAL(9,F312:F323))</f>
        <v>14539.840234582798</v>
      </c>
      <c r="R28" s="29">
        <f t="shared" si="0"/>
        <v>518935.94623976224</v>
      </c>
      <c r="S28" s="29">
        <f>IF(P28="","",SUM($P$3:P28))</f>
        <v>338393.86172479991</v>
      </c>
      <c r="T28" s="29">
        <f>IF(S28="","",SUM($Q$3:Q28))</f>
        <v>180542.0845149626</v>
      </c>
      <c r="V28">
        <v>17</v>
      </c>
    </row>
    <row r="29" spans="4:22">
      <c r="D29" s="32">
        <f>IF(V29&lt;=calcs!$F$4,'Loan Calculator'!V29,"")</f>
        <v>18</v>
      </c>
      <c r="E29" s="29" cm="1">
        <f t="array" ref="E29">_xlfn.IFS(F29="","",G28&lt;F28,G28*calcs!$H$3,$D$8&lt;=0,$M$3-F29,$D$8&gt;0,$M$3-F29+$D$8,G28&lt;F28,G29*calcs!$H$3)</f>
        <v>1437.0352410586759</v>
      </c>
      <c r="F29" s="29" cm="1">
        <f t="array" ref="F29">_xlfn.IFS(F28="","",G28=0,"",G28&lt;1,"",G28&lt;F28,G28,AND(G28&gt;0,$D$8&gt;0),$D$8+($M$3-(G28*calcs!$H$3)),G28&gt;0,$M$3-(G28*calcs!$H$3))</f>
        <v>226.22099688928074</v>
      </c>
      <c r="G29" s="29" cm="1">
        <f t="array" ref="G29">_xlfn.IFS(F29="","",G28-F29&lt;1,0,ISBLANK(F29)=TRUE,"",G28-F29&gt;1,G28-F29)</f>
        <v>246122.67747031228</v>
      </c>
      <c r="H29" s="33">
        <f t="shared" si="1"/>
        <v>29938.612283063216</v>
      </c>
      <c r="I29" s="2" t="str" cm="1">
        <f t="array" ref="I29">_xlfn.IFS(OR(D29="",E29="",F29=""),"",MOD(D29,12)&lt;&gt;0,"",MOD(D29,12)=0,"Year End"&amp;" "&amp;D29/12)</f>
        <v/>
      </c>
      <c r="O29" s="12">
        <f>IF(AND(I335="",H324=""),"",27)</f>
        <v>27</v>
      </c>
      <c r="P29" s="27">
        <f>IF(O29="","",SUBTOTAL(9,E324:E335))</f>
        <v>4368.1483945979435</v>
      </c>
      <c r="Q29" s="27">
        <f>IF(P29="","",SUBTOTAL(9,F324:F335))</f>
        <v>15590.926460777537</v>
      </c>
      <c r="R29" s="27">
        <f t="shared" si="0"/>
        <v>538895.02109513769</v>
      </c>
      <c r="S29" s="27">
        <f>IF(P29="","",SUM($P$3:P29))</f>
        <v>342762.01011939783</v>
      </c>
      <c r="T29" s="27">
        <f>IF(S29="","",SUM($Q$3:Q29))</f>
        <v>196133.01097574012</v>
      </c>
      <c r="V29">
        <v>18</v>
      </c>
    </row>
    <row r="30" spans="4:22">
      <c r="D30" s="30">
        <f>IF(V30&lt;=calcs!$F$4,'Loan Calculator'!V30,"")</f>
        <v>19</v>
      </c>
      <c r="E30" s="27" cm="1">
        <f t="array" ref="E30">_xlfn.IFS(F30="","",G29&lt;F29,G29*calcs!$H$3,$D$8&lt;=0,$M$3-F30,$D$8&gt;0,$M$3-F30+$D$8,G29&lt;F29,G30*calcs!$H$3)</f>
        <v>1435.7156185768217</v>
      </c>
      <c r="F30" s="27" cm="1">
        <f t="array" ref="F30">_xlfn.IFS(F29="","",G29=0,"",G29&lt;1,"",G29&lt;F29,G29,AND(G29&gt;0,$D$8&gt;0),$D$8+($M$3-(G29*calcs!$H$3)),G29&gt;0,$M$3-(G29*calcs!$H$3))</f>
        <v>227.54061937113488</v>
      </c>
      <c r="G30" s="27" cm="1">
        <f t="array" ref="G30">_xlfn.IFS(F30="","",G29-F30&lt;1,0,ISBLANK(F30)=TRUE,"",G29-F30&gt;1,G29-F30)</f>
        <v>245895.13685094114</v>
      </c>
      <c r="H30" s="31">
        <f t="shared" si="1"/>
        <v>31601.868521011173</v>
      </c>
      <c r="I30" s="2" t="str" cm="1">
        <f t="array" ref="I30">_xlfn.IFS(OR(D30="",E30="",F30=""),"",MOD(D30,12)&lt;&gt;0,"",MOD(D30,12)=0,"Year End"&amp;" "&amp;D30/12)</f>
        <v/>
      </c>
      <c r="O30" s="28">
        <f>IF(AND(I347="",H336=""),"",28)</f>
        <v>28</v>
      </c>
      <c r="P30" s="29">
        <f>IF(O30="","",SUBTOTAL(9,E336:E347))</f>
        <v>3241.0790601247108</v>
      </c>
      <c r="Q30" s="29">
        <f>IF(P30="","",SUBTOTAL(9,F336:F347))</f>
        <v>16717.995795250768</v>
      </c>
      <c r="R30" s="29">
        <f t="shared" si="0"/>
        <v>558854.09595051315</v>
      </c>
      <c r="S30" s="29">
        <f>IF(P30="","",SUM($P$3:P30))</f>
        <v>346003.08917952253</v>
      </c>
      <c r="T30" s="29">
        <f>IF(S30="","",SUM($Q$3:Q30))</f>
        <v>212851.00677099091</v>
      </c>
      <c r="V30">
        <v>19</v>
      </c>
    </row>
    <row r="31" spans="4:22">
      <c r="D31" s="32">
        <f>IF(V31&lt;=calcs!$F$4,'Loan Calculator'!V31,"")</f>
        <v>20</v>
      </c>
      <c r="E31" s="29" cm="1">
        <f t="array" ref="E31">_xlfn.IFS(F31="","",G30&lt;F30,G30*calcs!$H$3,$D$8&lt;=0,$M$3-F31,$D$8&gt;0,$M$3-F31+$D$8,G30&lt;F30,G31*calcs!$H$3)</f>
        <v>1434.3882982971568</v>
      </c>
      <c r="F31" s="29" cm="1">
        <f t="array" ref="F31">_xlfn.IFS(F30="","",G30=0,"",G30&lt;1,"",G30&lt;F30,G30,AND(G30&gt;0,$D$8&gt;0),$D$8+($M$3-(G30*calcs!$H$3)),G30&gt;0,$M$3-(G30*calcs!$H$3))</f>
        <v>228.86793965079983</v>
      </c>
      <c r="G31" s="29" cm="1">
        <f t="array" ref="G31">_xlfn.IFS(F31="","",G30-F31&lt;1,0,ISBLANK(F31)=TRUE,"",G30-F31&gt;1,G30-F31)</f>
        <v>245666.26891129033</v>
      </c>
      <c r="H31" s="33">
        <f t="shared" si="1"/>
        <v>33265.124758959129</v>
      </c>
      <c r="I31" s="2" t="str" cm="1">
        <f t="array" ref="I31">_xlfn.IFS(OR(D31="",E31="",F31=""),"",MOD(D31,12)&lt;&gt;0,"",MOD(D31,12)=0,"Year End"&amp;" "&amp;D31/12)</f>
        <v/>
      </c>
      <c r="O31" s="12">
        <f>IF(AND(I359="",H348=""),"",29)</f>
        <v>29</v>
      </c>
      <c r="P31" s="27">
        <f>IF(O31="","",SUBTOTAL(9,E348:E359))</f>
        <v>2032.5337923318243</v>
      </c>
      <c r="Q31" s="27">
        <f>IF(P31="","",SUBTOTAL(9,F348:F359))</f>
        <v>17926.541063043653</v>
      </c>
      <c r="R31" s="27">
        <f t="shared" si="0"/>
        <v>578813.1708058886</v>
      </c>
      <c r="S31" s="27">
        <f>IF(P31="","",SUM($P$3:P31))</f>
        <v>348035.62297185435</v>
      </c>
      <c r="T31" s="27">
        <f>IF(S31="","",SUM($Q$3:Q31))</f>
        <v>230777.54783403454</v>
      </c>
      <c r="V31">
        <v>20</v>
      </c>
    </row>
    <row r="32" spans="4:22">
      <c r="D32" s="30">
        <f>IF(V32&lt;=calcs!$F$4,'Loan Calculator'!V32,"")</f>
        <v>21</v>
      </c>
      <c r="E32" s="27" cm="1">
        <f t="array" ref="E32">_xlfn.IFS(F32="","",G31&lt;F31,G31*calcs!$H$3,$D$8&lt;=0,$M$3-F32,$D$8&gt;0,$M$3-F32+$D$8,G31&lt;F31,G32*calcs!$H$3)</f>
        <v>1433.0532353158603</v>
      </c>
      <c r="F32" s="27" cm="1">
        <f t="array" ref="F32">_xlfn.IFS(F31="","",G31=0,"",G31&lt;1,"",G31&lt;F31,G31,AND(G31&gt;0,$D$8&gt;0),$D$8+($M$3-(G31*calcs!$H$3)),G31&gt;0,$M$3-(G31*calcs!$H$3))</f>
        <v>230.20300263209629</v>
      </c>
      <c r="G32" s="27" cm="1">
        <f t="array" ref="G32">_xlfn.IFS(F32="","",G31-F32&lt;1,0,ISBLANK(F32)=TRUE,"",G31-F32&gt;1,G31-F32)</f>
        <v>245436.06590865823</v>
      </c>
      <c r="H32" s="31">
        <f t="shared" si="1"/>
        <v>34928.380996907086</v>
      </c>
      <c r="I32" s="2" t="str" cm="1">
        <f t="array" ref="I32">_xlfn.IFS(OR(D32="",E32="",F32=""),"",MOD(D32,12)&lt;&gt;0,"",MOD(D32,12)=0,"Year End"&amp;" "&amp;D32/12)</f>
        <v/>
      </c>
      <c r="O32" s="28">
        <f>IF(AND(I371="",H360=""),"",30)</f>
        <v>30</v>
      </c>
      <c r="P32" s="29">
        <f>IF(O32="","",SUBTOTAL(9,E360:E371))</f>
        <v>736.6226894117699</v>
      </c>
      <c r="Q32" s="29">
        <f>IF(P32="","",SUBTOTAL(9,F360:F371))</f>
        <v>19222.45216596371</v>
      </c>
      <c r="R32" s="29">
        <f t="shared" si="0"/>
        <v>598772.24566126405</v>
      </c>
      <c r="S32" s="29">
        <f>IF(P32="","",SUM($P$3:P32))</f>
        <v>348772.24566126609</v>
      </c>
      <c r="T32" s="29">
        <f>IF(S32="","",SUM($Q$3:Q32))</f>
        <v>249999.99999999825</v>
      </c>
      <c r="V32">
        <v>21</v>
      </c>
    </row>
    <row r="33" spans="4:22">
      <c r="D33" s="32">
        <f>IF(V33&lt;=calcs!$F$4,'Loan Calculator'!V33,"")</f>
        <v>22</v>
      </c>
      <c r="E33" s="29" cm="1">
        <f t="array" ref="E33">_xlfn.IFS(F33="","",G32&lt;F32,G32*calcs!$H$3,$D$8&lt;=0,$M$3-F33,$D$8&gt;0,$M$3-F33+$D$8,G32&lt;F32,G33*calcs!$H$3)</f>
        <v>1431.7103844671731</v>
      </c>
      <c r="F33" s="29" cm="1">
        <f t="array" ref="F33">_xlfn.IFS(F32="","",G32=0,"",G32&lt;1,"",G32&lt;F32,G32,AND(G32&gt;0,$D$8&gt;0),$D$8+($M$3-(G32*calcs!$H$3)),G32&gt;0,$M$3-(G32*calcs!$H$3))</f>
        <v>231.54585348078353</v>
      </c>
      <c r="G33" s="29" cm="1">
        <f t="array" ref="G33">_xlfn.IFS(F33="","",G32-F33&lt;1,0,ISBLANK(F33)=TRUE,"",G32-F33&gt;1,G32-F33)</f>
        <v>245204.52005517745</v>
      </c>
      <c r="H33" s="33">
        <f t="shared" si="1"/>
        <v>36591.637234855043</v>
      </c>
      <c r="I33" s="2" t="str" cm="1">
        <f t="array" ref="I33">_xlfn.IFS(OR(D33="",E33="",F33=""),"",MOD(D33,12)&lt;&gt;0,"",MOD(D33,12)=0,"Year End"&amp;" "&amp;D33/12)</f>
        <v/>
      </c>
      <c r="O33" s="12" t="str">
        <f>IF(AND(I383="",H372=""),"",31)</f>
        <v/>
      </c>
      <c r="P33" s="27" t="str">
        <f>IF(O33="","",SUBTOTAL(9,E372:E383))</f>
        <v/>
      </c>
      <c r="Q33" s="27" t="str">
        <f>IF(P33="","",SUBTOTAL(9,F372:F383))</f>
        <v/>
      </c>
      <c r="R33" s="27" t="str">
        <f t="shared" si="0"/>
        <v/>
      </c>
      <c r="S33" s="27" t="str">
        <f>IF(P33="","",SUM($P$3:P33))</f>
        <v/>
      </c>
      <c r="T33" s="27" t="str">
        <f>IF(S33="","",SUM($Q$3:Q33))</f>
        <v/>
      </c>
      <c r="V33">
        <v>22</v>
      </c>
    </row>
    <row r="34" spans="4:22">
      <c r="D34" s="30">
        <f>IF(V34&lt;=calcs!$F$4,'Loan Calculator'!V34,"")</f>
        <v>23</v>
      </c>
      <c r="E34" s="27" cm="1">
        <f t="array" ref="E34">_xlfn.IFS(F34="","",G33&lt;F33,G33*calcs!$H$3,$D$8&lt;=0,$M$3-F34,$D$8&gt;0,$M$3-F34+$D$8,G33&lt;F33,G34*calcs!$H$3)</f>
        <v>1430.3597003218686</v>
      </c>
      <c r="F34" s="27" cm="1">
        <f t="array" ref="F34">_xlfn.IFS(F33="","",G33=0,"",G33&lt;1,"",G33&lt;F33,G33,AND(G33&gt;0,$D$8&gt;0),$D$8+($M$3-(G33*calcs!$H$3)),G33&gt;0,$M$3-(G33*calcs!$H$3))</f>
        <v>232.89653762608805</v>
      </c>
      <c r="G34" s="27" cm="1">
        <f t="array" ref="G34">_xlfn.IFS(F34="","",G33-F34&lt;1,0,ISBLANK(F34)=TRUE,"",G33-F34&gt;1,G33-F34)</f>
        <v>244971.62351755137</v>
      </c>
      <c r="H34" s="31">
        <f t="shared" si="1"/>
        <v>38254.893472803</v>
      </c>
      <c r="I34" s="2" t="str" cm="1">
        <f t="array" ref="I34">_xlfn.IFS(OR(D34="",E34="",F34=""),"",MOD(D34,12)&lt;&gt;0,"",MOD(D34,12)=0,"Year End"&amp;" "&amp;D34/12)</f>
        <v/>
      </c>
      <c r="O34" s="28" t="str">
        <f>IF(AND(I395="",H384=""),"",32)</f>
        <v/>
      </c>
      <c r="P34" s="29" t="str">
        <f>IF(O34="","",SUBTOTAL(9,E384:E395))</f>
        <v/>
      </c>
      <c r="Q34" s="29" t="str">
        <f>IF(P34="","",SUBTOTAL(9,F384:F395))</f>
        <v/>
      </c>
      <c r="R34" s="29" t="str">
        <f t="shared" si="0"/>
        <v/>
      </c>
      <c r="S34" s="29" t="str">
        <f>IF(P34="","",SUM($P$3:P34))</f>
        <v/>
      </c>
      <c r="T34" s="29" t="str">
        <f>IF(S34="","",SUM($Q$3:Q34))</f>
        <v/>
      </c>
      <c r="V34">
        <v>23</v>
      </c>
    </row>
    <row r="35" spans="4:22">
      <c r="D35" s="32">
        <f>IF(V35&lt;=calcs!$F$4,'Loan Calculator'!V35,"")</f>
        <v>24</v>
      </c>
      <c r="E35" s="29" cm="1">
        <f t="array" ref="E35">_xlfn.IFS(F35="","",G34&lt;F34,G34*calcs!$H$3,$D$8&lt;=0,$M$3-F35,$D$8&gt;0,$M$3-F35+$D$8,G34&lt;F34,G35*calcs!$H$3)</f>
        <v>1429.0011371857163</v>
      </c>
      <c r="F35" s="29" cm="1">
        <f t="array" ref="F35">_xlfn.IFS(F34="","",G34=0,"",G34&lt;1,"",G34&lt;F34,G34,AND(G34&gt;0,$D$8&gt;0),$D$8+($M$3-(G34*calcs!$H$3)),G34&gt;0,$M$3-(G34*calcs!$H$3))</f>
        <v>234.25510076224032</v>
      </c>
      <c r="G35" s="29" cm="1">
        <f t="array" ref="G35">_xlfn.IFS(F35="","",G34-F35&lt;1,0,ISBLANK(F35)=TRUE,"",G34-F35&gt;1,G34-F35)</f>
        <v>244737.36841678913</v>
      </c>
      <c r="H35" s="33">
        <f t="shared" si="1"/>
        <v>39918.149710750957</v>
      </c>
      <c r="I35" s="2" t="str" cm="1">
        <f t="array" ref="I35">_xlfn.IFS(OR(D35="",E35="",F35=""),"",MOD(D35,12)&lt;&gt;0,"",MOD(D35,12)=0,"Year End"&amp;" "&amp;D35/12)</f>
        <v>Year End 2</v>
      </c>
      <c r="O35" s="12" t="str">
        <f>IF(AND(I407="",H396=""),"",33)</f>
        <v/>
      </c>
      <c r="P35" s="27" t="str">
        <f>IF(O35="","",SUBTOTAL(9,E396:E407))</f>
        <v/>
      </c>
      <c r="Q35" s="27" t="str">
        <f>IF(P35="","",SUBTOTAL(9,F396:F407))</f>
        <v/>
      </c>
      <c r="R35" s="27" t="str">
        <f t="shared" si="0"/>
        <v/>
      </c>
      <c r="S35" s="27" t="str">
        <f>IF(P35="","",SUM($P$3:P35))</f>
        <v/>
      </c>
      <c r="T35" s="27" t="str">
        <f>IF(S35="","",SUM($Q$3:Q35))</f>
        <v/>
      </c>
      <c r="V35">
        <v>24</v>
      </c>
    </row>
    <row r="36" spans="4:22">
      <c r="D36" s="30">
        <f>IF(V36&lt;=calcs!$F$4,'Loan Calculator'!V36,"")</f>
        <v>25</v>
      </c>
      <c r="E36" s="27" cm="1">
        <f t="array" ref="E36">_xlfn.IFS(F36="","",G35&lt;F35,G35*calcs!$H$3,$D$8&lt;=0,$M$3-F36,$D$8&gt;0,$M$3-F36+$D$8,G35&lt;F35,G36*calcs!$H$3)</f>
        <v>1427.6346490979367</v>
      </c>
      <c r="F36" s="27" cm="1">
        <f t="array" ref="F36">_xlfn.IFS(F35="","",G35=0,"",G35&lt;1,"",G35&lt;F35,G35,AND(G35&gt;0,$D$8&gt;0),$D$8+($M$3-(G35*calcs!$H$3)),G35&gt;0,$M$3-(G35*calcs!$H$3))</f>
        <v>235.62158885001986</v>
      </c>
      <c r="G36" s="27" cm="1">
        <f t="array" ref="G36">_xlfn.IFS(F36="","",G35-F36&lt;1,0,ISBLANK(F36)=TRUE,"",G35-F36&gt;1,G35-F36)</f>
        <v>244501.74682793912</v>
      </c>
      <c r="H36" s="31">
        <f t="shared" si="1"/>
        <v>41581.405948698914</v>
      </c>
      <c r="I36" s="2" t="str" cm="1">
        <f t="array" ref="I36">_xlfn.IFS(OR(D36="",E36="",F36=""),"",MOD(D36,12)&lt;&gt;0,"",MOD(D36,12)=0,"Year End"&amp;" "&amp;D36/12)</f>
        <v/>
      </c>
      <c r="O36" s="28" t="str">
        <f>IF(AND(I419="",H408=""),"",34)</f>
        <v/>
      </c>
      <c r="P36" s="29" t="str">
        <f>IF(O36="","",SUBTOTAL(9,E408:E419))</f>
        <v/>
      </c>
      <c r="Q36" s="29" t="str">
        <f>IF(P36="","",SUBTOTAL(9,F408:F419))</f>
        <v/>
      </c>
      <c r="R36" s="29" t="str">
        <f t="shared" si="0"/>
        <v/>
      </c>
      <c r="S36" s="29" t="str">
        <f>IF(P36="","",SUM($P$3:P36))</f>
        <v/>
      </c>
      <c r="T36" s="29" t="str">
        <f>IF(S36="","",SUM($Q$3:Q36))</f>
        <v/>
      </c>
      <c r="V36">
        <v>25</v>
      </c>
    </row>
    <row r="37" spans="4:22">
      <c r="D37" s="32">
        <f>IF(V37&lt;=calcs!$F$4,'Loan Calculator'!V37,"")</f>
        <v>26</v>
      </c>
      <c r="E37" s="29" cm="1">
        <f t="array" ref="E37">_xlfn.IFS(F37="","",G36&lt;F36,G36*calcs!$H$3,$D$8&lt;=0,$M$3-F37,$D$8&gt;0,$M$3-F37+$D$8,G36&lt;F36,G37*calcs!$H$3)</f>
        <v>1426.260189829645</v>
      </c>
      <c r="F37" s="29" cm="1">
        <f t="array" ref="F37">_xlfn.IFS(F36="","",G36=0,"",G36&lt;1,"",G36&lt;F36,G36,AND(G36&gt;0,$D$8&gt;0),$D$8+($M$3-(G36*calcs!$H$3)),G36&gt;0,$M$3-(G36*calcs!$H$3))</f>
        <v>236.99604811831159</v>
      </c>
      <c r="G37" s="29" cm="1">
        <f t="array" ref="G37">_xlfn.IFS(F37="","",G36-F37&lt;1,0,ISBLANK(F37)=TRUE,"",G36-F37&gt;1,G36-F37)</f>
        <v>244264.75077982081</v>
      </c>
      <c r="H37" s="33">
        <f t="shared" si="1"/>
        <v>43244.662186646863</v>
      </c>
      <c r="I37" s="2" t="str" cm="1">
        <f t="array" ref="I37">_xlfn.IFS(OR(D37="",E37="",F37=""),"",MOD(D37,12)&lt;&gt;0,"",MOD(D37,12)=0,"Year End"&amp;" "&amp;D37/12)</f>
        <v/>
      </c>
      <c r="O37" s="12" t="str">
        <f>IF(AND(I431="",H420=""),"",35)</f>
        <v/>
      </c>
      <c r="P37" s="27" t="str">
        <f>IF(O37="","",SUBTOTAL(9,E420:E431))</f>
        <v/>
      </c>
      <c r="Q37" s="27" t="str">
        <f>IF(P37="","",SUBTOTAL(9,F420:F431))</f>
        <v/>
      </c>
      <c r="R37" s="27" t="str">
        <f t="shared" si="0"/>
        <v/>
      </c>
      <c r="S37" s="27" t="str">
        <f>IF(P37="","",SUM($P$3:P37))</f>
        <v/>
      </c>
      <c r="T37" s="27" t="str">
        <f>IF(S37="","",SUM($Q$3:Q37))</f>
        <v/>
      </c>
      <c r="V37">
        <v>26</v>
      </c>
    </row>
    <row r="38" spans="4:22">
      <c r="D38" s="30">
        <f>IF(V38&lt;=calcs!$F$4,'Loan Calculator'!V38,"")</f>
        <v>27</v>
      </c>
      <c r="E38" s="27" cm="1">
        <f t="array" ref="E38">_xlfn.IFS(F38="","",G37&lt;F37,G37*calcs!$H$3,$D$8&lt;=0,$M$3-F38,$D$8&gt;0,$M$3-F38+$D$8,G37&lt;F37,G38*calcs!$H$3)</f>
        <v>1424.8777128822881</v>
      </c>
      <c r="F38" s="27" cm="1">
        <f t="array" ref="F38">_xlfn.IFS(F37="","",G37=0,"",G37&lt;1,"",G37&lt;F37,G37,AND(G37&gt;0,$D$8&gt;0),$D$8+($M$3-(G37*calcs!$H$3)),G37&gt;0,$M$3-(G37*calcs!$H$3))</f>
        <v>238.37852506566855</v>
      </c>
      <c r="G38" s="27" cm="1">
        <f t="array" ref="G38">_xlfn.IFS(F38="","",G37-F38&lt;1,0,ISBLANK(F38)=TRUE,"",G37-F38&gt;1,G37-F38)</f>
        <v>244026.37225475514</v>
      </c>
      <c r="H38" s="31">
        <f t="shared" si="1"/>
        <v>44907.91842459482</v>
      </c>
      <c r="I38" s="2" t="str" cm="1">
        <f t="array" ref="I38">_xlfn.IFS(OR(D38="",E38="",F38=""),"",MOD(D38,12)&lt;&gt;0,"",MOD(D38,12)=0,"Year End"&amp;" "&amp;D38/12)</f>
        <v/>
      </c>
      <c r="O38" s="28" t="str">
        <f>IF(AND(I443="",H432=""),"",36)</f>
        <v/>
      </c>
      <c r="P38" s="29" t="str">
        <f>IF(O38="","",SUBTOTAL(9,E432:E443))</f>
        <v/>
      </c>
      <c r="Q38" s="29" t="str">
        <f>IF(P38="","",SUBTOTAL(9,F432:F443))</f>
        <v/>
      </c>
      <c r="R38" s="29" t="str">
        <f t="shared" si="0"/>
        <v/>
      </c>
      <c r="S38" s="29" t="str">
        <f>IF(P38="","",SUM($P$3:P38))</f>
        <v/>
      </c>
      <c r="T38" s="29" t="str">
        <f>IF(S38="","",SUM($Q$3:Q38))</f>
        <v/>
      </c>
      <c r="V38">
        <v>27</v>
      </c>
    </row>
    <row r="39" spans="4:22">
      <c r="D39" s="32">
        <f>IF(V39&lt;=calcs!$F$4,'Loan Calculator'!V39,"")</f>
        <v>28</v>
      </c>
      <c r="E39" s="29" cm="1">
        <f t="array" ref="E39">_xlfn.IFS(F39="","",G38&lt;F38,G38*calcs!$H$3,$D$8&lt;=0,$M$3-F39,$D$8&gt;0,$M$3-F39+$D$8,G38&lt;F38,G39*calcs!$H$3)</f>
        <v>1423.4871714860717</v>
      </c>
      <c r="F39" s="29" cm="1">
        <f t="array" ref="F39">_xlfn.IFS(F38="","",G38=0,"",G38&lt;1,"",G38&lt;F38,G38,AND(G38&gt;0,$D$8&gt;0),$D$8+($M$3-(G38*calcs!$H$3)),G38&gt;0,$M$3-(G38*calcs!$H$3))</f>
        <v>239.7690664618849</v>
      </c>
      <c r="G39" s="29" cm="1">
        <f t="array" ref="G39">_xlfn.IFS(F39="","",G38-F39&lt;1,0,ISBLANK(F39)=TRUE,"",G38-F39&gt;1,G38-F39)</f>
        <v>243786.60318829326</v>
      </c>
      <c r="H39" s="33">
        <f t="shared" si="1"/>
        <v>46571.174662542777</v>
      </c>
      <c r="I39" s="2" t="str" cm="1">
        <f t="array" ref="I39">_xlfn.IFS(OR(D39="",E39="",F39=""),"",MOD(D39,12)&lt;&gt;0,"",MOD(D39,12)=0,"Year End"&amp;" "&amp;D39/12)</f>
        <v/>
      </c>
      <c r="O39" s="12" t="str">
        <f>IF(AND(I455="",H444=""),"",37)</f>
        <v/>
      </c>
      <c r="P39" s="27" t="str">
        <f>IF(O39="","",SUBTOTAL(9,E444:E455))</f>
        <v/>
      </c>
      <c r="Q39" s="27" t="str">
        <f>IF(P39="","",SUBTOTAL(9,F444:F455))</f>
        <v/>
      </c>
      <c r="R39" s="27" t="str">
        <f t="shared" si="0"/>
        <v/>
      </c>
      <c r="S39" s="27" t="str">
        <f>IF(P39="","",SUM($P$3:P39))</f>
        <v/>
      </c>
      <c r="T39" s="27" t="str">
        <f>IF(S39="","",SUM($Q$3:Q39))</f>
        <v/>
      </c>
      <c r="V39">
        <v>28</v>
      </c>
    </row>
    <row r="40" spans="4:22">
      <c r="D40" s="30">
        <f>IF(V40&lt;=calcs!$F$4,'Loan Calculator'!V40,"")</f>
        <v>29</v>
      </c>
      <c r="E40" s="27" cm="1">
        <f t="array" ref="E40">_xlfn.IFS(F40="","",G39&lt;F39,G39*calcs!$H$3,$D$8&lt;=0,$M$3-F40,$D$8&gt;0,$M$3-F40+$D$8,G39&lt;F39,G40*calcs!$H$3)</f>
        <v>1422.0885185983775</v>
      </c>
      <c r="F40" s="27" cm="1">
        <f t="array" ref="F40">_xlfn.IFS(F39="","",G39=0,"",G39&lt;1,"",G39&lt;F39,G39,AND(G39&gt;0,$D$8&gt;0),$D$8+($M$3-(G39*calcs!$H$3)),G39&gt;0,$M$3-(G39*calcs!$H$3))</f>
        <v>241.1677193495791</v>
      </c>
      <c r="G40" s="27" cm="1">
        <f t="array" ref="G40">_xlfn.IFS(F40="","",G39-F40&lt;1,0,ISBLANK(F40)=TRUE,"",G39-F40&gt;1,G39-F40)</f>
        <v>243545.43546894367</v>
      </c>
      <c r="H40" s="31">
        <f t="shared" si="1"/>
        <v>48234.430900490734</v>
      </c>
      <c r="I40" s="2" t="str" cm="1">
        <f t="array" ref="I40">_xlfn.IFS(OR(D40="",E40="",F40=""),"",MOD(D40,12)&lt;&gt;0,"",MOD(D40,12)=0,"Year End"&amp;" "&amp;D40/12)</f>
        <v/>
      </c>
      <c r="O40" s="28" t="str">
        <f>IF(AND(I467="",H456=""),"",38)</f>
        <v/>
      </c>
      <c r="P40" s="29" t="str">
        <f>IF(O40="","",SUBTOTAL(9,E456:E467))</f>
        <v/>
      </c>
      <c r="Q40" s="29" t="str">
        <f>IF(P40="","",SUBTOTAL(9,F456:F467))</f>
        <v/>
      </c>
      <c r="R40" s="29" t="str">
        <f t="shared" si="0"/>
        <v/>
      </c>
      <c r="S40" s="29" t="str">
        <f>IF(P40="","",SUM($P$3:P40))</f>
        <v/>
      </c>
      <c r="T40" s="29" t="str">
        <f>IF(S40="","",SUM($Q$3:Q40))</f>
        <v/>
      </c>
      <c r="V40">
        <v>29</v>
      </c>
    </row>
    <row r="41" spans="4:22">
      <c r="D41" s="32">
        <f>IF(V41&lt;=calcs!$F$4,'Loan Calculator'!V41,"")</f>
        <v>30</v>
      </c>
      <c r="E41" s="29" cm="1">
        <f t="array" ref="E41">_xlfn.IFS(F41="","",G40&lt;F40,G40*calcs!$H$3,$D$8&lt;=0,$M$3-F41,$D$8&gt;0,$M$3-F41+$D$8,G40&lt;F40,G41*calcs!$H$3)</f>
        <v>1420.6817069021715</v>
      </c>
      <c r="F41" s="29" cm="1">
        <f t="array" ref="F41">_xlfn.IFS(F40="","",G40=0,"",G40&lt;1,"",G40&lt;F40,G40,AND(G40&gt;0,$D$8&gt;0),$D$8+($M$3-(G40*calcs!$H$3)),G40&gt;0,$M$3-(G40*calcs!$H$3))</f>
        <v>242.57453104578508</v>
      </c>
      <c r="G41" s="29" cm="1">
        <f t="array" ref="G41">_xlfn.IFS(F41="","",G40-F41&lt;1,0,ISBLANK(F41)=TRUE,"",G40-F41&gt;1,G40-F41)</f>
        <v>243302.8609378979</v>
      </c>
      <c r="H41" s="33">
        <f t="shared" si="1"/>
        <v>49897.68713843869</v>
      </c>
      <c r="I41" s="2" t="str" cm="1">
        <f t="array" ref="I41">_xlfn.IFS(OR(D41="",E41="",F41=""),"",MOD(D41,12)&lt;&gt;0,"",MOD(D41,12)=0,"Year End"&amp;" "&amp;D41/12)</f>
        <v/>
      </c>
      <c r="O41" s="12" t="str">
        <f>IF(AND(I479="",H468=""),"",39)</f>
        <v/>
      </c>
      <c r="P41" s="27" t="str">
        <f>IF(O41="","",SUBTOTAL(9,E468:E479))</f>
        <v/>
      </c>
      <c r="Q41" s="27" t="str">
        <f>IF(P41="","",SUBTOTAL(9,F468:F479))</f>
        <v/>
      </c>
      <c r="R41" s="27" t="str">
        <f t="shared" si="0"/>
        <v/>
      </c>
      <c r="S41" s="27" t="str">
        <f>IF(P41="","",SUM($P$3:P41))</f>
        <v/>
      </c>
      <c r="T41" s="27" t="str">
        <f>IF(S41="","",SUM($Q$3:Q41))</f>
        <v/>
      </c>
      <c r="V41">
        <v>30</v>
      </c>
    </row>
    <row r="42" spans="4:22">
      <c r="D42" s="30">
        <f>IF(V42&lt;=calcs!$F$4,'Loan Calculator'!V42,"")</f>
        <v>31</v>
      </c>
      <c r="E42" s="27" cm="1">
        <f t="array" ref="E42">_xlfn.IFS(F42="","",G41&lt;F41,G41*calcs!$H$3,$D$8&lt;=0,$M$3-F42,$D$8&gt;0,$M$3-F42+$D$8,G41&lt;F41,G42*calcs!$H$3)</f>
        <v>1419.2666888044046</v>
      </c>
      <c r="F42" s="27" cm="1">
        <f t="array" ref="F42">_xlfn.IFS(F41="","",G41=0,"",G41&lt;1,"",G41&lt;F41,G41,AND(G41&gt;0,$D$8&gt;0),$D$8+($M$3-(G41*calcs!$H$3)),G41&gt;0,$M$3-(G41*calcs!$H$3))</f>
        <v>243.98954914355204</v>
      </c>
      <c r="G42" s="27" cm="1">
        <f t="array" ref="G42">_xlfn.IFS(F42="","",G41-F42&lt;1,0,ISBLANK(F42)=TRUE,"",G41-F42&gt;1,G41-F42)</f>
        <v>243058.87138875434</v>
      </c>
      <c r="H42" s="31">
        <f t="shared" si="1"/>
        <v>51560.943376386647</v>
      </c>
      <c r="I42" s="2" t="str" cm="1">
        <f t="array" ref="I42">_xlfn.IFS(OR(D42="",E42="",F42=""),"",MOD(D42,12)&lt;&gt;0,"",MOD(D42,12)=0,"Year End"&amp;" "&amp;D42/12)</f>
        <v/>
      </c>
      <c r="O42" s="28" t="str">
        <f>IF(AND(I491="",H480=""),"",40)</f>
        <v/>
      </c>
      <c r="P42" s="29" t="str">
        <f>IF(O42="","",SUBTOTAL(9,E480:E491))</f>
        <v/>
      </c>
      <c r="Q42" s="29" t="str">
        <f>IF(P42="","",SUBTOTAL(9,F480:F491))</f>
        <v/>
      </c>
      <c r="R42" s="29" t="str">
        <f t="shared" si="0"/>
        <v/>
      </c>
      <c r="S42" s="29" t="str">
        <f>IF(P42="","",SUM($P$3:P42))</f>
        <v/>
      </c>
      <c r="T42" s="29" t="str">
        <f>IF(S42="","",SUM($Q$3:Q42))</f>
        <v/>
      </c>
      <c r="V42">
        <v>31</v>
      </c>
    </row>
    <row r="43" spans="4:22">
      <c r="D43" s="32">
        <f>IF(V43&lt;=calcs!$F$4,'Loan Calculator'!V43,"")</f>
        <v>32</v>
      </c>
      <c r="E43" s="29" cm="1">
        <f t="array" ref="E43">_xlfn.IFS(F43="","",G42&lt;F42,G42*calcs!$H$3,$D$8&lt;=0,$M$3-F43,$D$8&gt;0,$M$3-F43+$D$8,G42&lt;F42,G43*calcs!$H$3)</f>
        <v>1417.8434164344003</v>
      </c>
      <c r="F43" s="29" cm="1">
        <f t="array" ref="F43">_xlfn.IFS(F42="","",G42=0,"",G42&lt;1,"",G42&lt;F42,G42,AND(G42&gt;0,$D$8&gt;0),$D$8+($M$3-(G42*calcs!$H$3)),G42&gt;0,$M$3-(G42*calcs!$H$3))</f>
        <v>245.41282151355631</v>
      </c>
      <c r="G43" s="29" cm="1">
        <f t="array" ref="G43">_xlfn.IFS(F43="","",G42-F43&lt;1,0,ISBLANK(F43)=TRUE,"",G42-F43&gt;1,G42-F43)</f>
        <v>242813.4585672408</v>
      </c>
      <c r="H43" s="33">
        <f t="shared" si="1"/>
        <v>53224.199614334604</v>
      </c>
      <c r="I43" s="2" t="str" cm="1">
        <f t="array" ref="I43">_xlfn.IFS(OR(D43="",E43="",F43=""),"",MOD(D43,12)&lt;&gt;0,"",MOD(D43,12)=0,"Year End"&amp;" "&amp;D43/12)</f>
        <v/>
      </c>
      <c r="O43" s="12" t="str">
        <f>IF(AND(I503="",H492=""),"",41)</f>
        <v/>
      </c>
      <c r="P43" s="27" t="str">
        <f>IF(O43="","",SUBTOTAL(9,E492:E503))</f>
        <v/>
      </c>
      <c r="Q43" s="27" t="str">
        <f>IF(P43="","",SUBTOTAL(9,F492:F503))</f>
        <v/>
      </c>
      <c r="R43" s="27" t="str">
        <f t="shared" si="0"/>
        <v/>
      </c>
      <c r="S43" s="27" t="str">
        <f>IF(P43="","",SUM($P$3:P43))</f>
        <v/>
      </c>
      <c r="T43" s="27" t="str">
        <f>IF(S43="","",SUM($Q$3:Q43))</f>
        <v/>
      </c>
      <c r="V43">
        <v>32</v>
      </c>
    </row>
    <row r="44" spans="4:22">
      <c r="D44" s="30">
        <f>IF(V44&lt;=calcs!$F$4,'Loan Calculator'!V44,"")</f>
        <v>33</v>
      </c>
      <c r="E44" s="27" cm="1">
        <f t="array" ref="E44">_xlfn.IFS(F44="","",G43&lt;F43,G43*calcs!$H$3,$D$8&lt;=0,$M$3-F44,$D$8&gt;0,$M$3-F44+$D$8,G43&lt;F43,G44*calcs!$H$3)</f>
        <v>1416.411841642238</v>
      </c>
      <c r="F44" s="27" cm="1">
        <f t="array" ref="F44">_xlfn.IFS(F43="","",G43=0,"",G43&lt;1,"",G43&lt;F43,G43,AND(G43&gt;0,$D$8&gt;0),$D$8+($M$3-(G43*calcs!$H$3)),G43&gt;0,$M$3-(G43*calcs!$H$3))</f>
        <v>246.84439630571865</v>
      </c>
      <c r="G44" s="27" cm="1">
        <f t="array" ref="G44">_xlfn.IFS(F44="","",G43-F44&lt;1,0,ISBLANK(F44)=TRUE,"",G43-F44&gt;1,G43-F44)</f>
        <v>242566.61417093509</v>
      </c>
      <c r="H44" s="31">
        <f t="shared" si="1"/>
        <v>54887.455852282561</v>
      </c>
      <c r="I44" s="2" t="str" cm="1">
        <f t="array" ref="I44">_xlfn.IFS(OR(D44="",E44="",F44=""),"",MOD(D44,12)&lt;&gt;0,"",MOD(D44,12)=0,"Year End"&amp;" "&amp;D44/12)</f>
        <v/>
      </c>
      <c r="O44" s="28" t="str">
        <f>IF(AND(I515="",H504=""),"",42)</f>
        <v/>
      </c>
      <c r="P44" s="29" t="str">
        <f>IF(O44="","",SUBTOTAL(9,E504:E515))</f>
        <v/>
      </c>
      <c r="Q44" s="29" t="str">
        <f>IF(P44="","",SUBTOTAL(9,F504:F515))</f>
        <v/>
      </c>
      <c r="R44" s="29" t="str">
        <f t="shared" si="0"/>
        <v/>
      </c>
      <c r="S44" s="29" t="str">
        <f>IF(P44="","",SUM($P$3:P44))</f>
        <v/>
      </c>
      <c r="T44" s="29" t="str">
        <f>IF(S44="","",SUM($Q$3:Q44))</f>
        <v/>
      </c>
      <c r="V44">
        <v>33</v>
      </c>
    </row>
    <row r="45" spans="4:22">
      <c r="D45" s="32">
        <f>IF(V45&lt;=calcs!$F$4,'Loan Calculator'!V45,"")</f>
        <v>34</v>
      </c>
      <c r="E45" s="29" cm="1">
        <f t="array" ref="E45">_xlfn.IFS(F45="","",G44&lt;F44,G44*calcs!$H$3,$D$8&lt;=0,$M$3-F45,$D$8&gt;0,$M$3-F45+$D$8,G44&lt;F44,G45*calcs!$H$3)</f>
        <v>1414.9719159971214</v>
      </c>
      <c r="F45" s="29" cm="1">
        <f t="array" ref="F45">_xlfn.IFS(F44="","",G44=0,"",G44&lt;1,"",G44&lt;F44,G44,AND(G44&gt;0,$D$8&gt;0),$D$8+($M$3-(G44*calcs!$H$3)),G44&gt;0,$M$3-(G44*calcs!$H$3))</f>
        <v>248.28432195083519</v>
      </c>
      <c r="G45" s="29" cm="1">
        <f t="array" ref="G45">_xlfn.IFS(F45="","",G44-F45&lt;1,0,ISBLANK(F45)=TRUE,"",G44-F45&gt;1,G44-F45)</f>
        <v>242318.32984898426</v>
      </c>
      <c r="H45" s="33">
        <f t="shared" si="1"/>
        <v>56550.712090230518</v>
      </c>
      <c r="I45" s="2" t="str" cm="1">
        <f t="array" ref="I45">_xlfn.IFS(OR(D45="",E45="",F45=""),"",MOD(D45,12)&lt;&gt;0,"",MOD(D45,12)=0,"Year End"&amp;" "&amp;D45/12)</f>
        <v/>
      </c>
      <c r="O45" s="12" t="str">
        <f>IF(AND(I527="",H516=""),"",43)</f>
        <v/>
      </c>
      <c r="P45" s="27" t="str">
        <f>IF(O45="","",SUBTOTAL(9,E516:E527))</f>
        <v/>
      </c>
      <c r="Q45" s="27" t="str">
        <f>IF(P45="","",SUBTOTAL(9,F516:F527))</f>
        <v/>
      </c>
      <c r="R45" s="27" t="str">
        <f t="shared" si="0"/>
        <v/>
      </c>
      <c r="S45" s="27" t="str">
        <f>IF(P45="","",SUM($P$3:P45))</f>
        <v/>
      </c>
      <c r="T45" s="27" t="str">
        <f>IF(S45="","",SUM($Q$3:Q45))</f>
        <v/>
      </c>
      <c r="V45">
        <v>34</v>
      </c>
    </row>
    <row r="46" spans="4:22">
      <c r="D46" s="30">
        <f>IF(V46&lt;=calcs!$F$4,'Loan Calculator'!V46,"")</f>
        <v>35</v>
      </c>
      <c r="E46" s="27" cm="1">
        <f t="array" ref="E46">_xlfn.IFS(F46="","",G45&lt;F45,G45*calcs!$H$3,$D$8&lt;=0,$M$3-F46,$D$8&gt;0,$M$3-F46+$D$8,G45&lt;F45,G46*calcs!$H$3)</f>
        <v>1413.5235907857416</v>
      </c>
      <c r="F46" s="27" cm="1">
        <f t="array" ref="F46">_xlfn.IFS(F45="","",G45=0,"",G45&lt;1,"",G45&lt;F45,G45,AND(G45&gt;0,$D$8&gt;0),$D$8+($M$3-(G45*calcs!$H$3)),G45&gt;0,$M$3-(G45*calcs!$H$3))</f>
        <v>249.73264716221502</v>
      </c>
      <c r="G46" s="27" cm="1">
        <f t="array" ref="G46">_xlfn.IFS(F46="","",G45-F46&lt;1,0,ISBLANK(F46)=TRUE,"",G45-F46&gt;1,G45-F46)</f>
        <v>242068.59720182203</v>
      </c>
      <c r="H46" s="31">
        <f t="shared" si="1"/>
        <v>58213.968328178475</v>
      </c>
      <c r="I46" s="2" t="str" cm="1">
        <f t="array" ref="I46">_xlfn.IFS(OR(D46="",E46="",F46=""),"",MOD(D46,12)&lt;&gt;0,"",MOD(D46,12)=0,"Year End"&amp;" "&amp;D46/12)</f>
        <v/>
      </c>
      <c r="O46" s="28" t="str">
        <f>IF(AND(I539="",H528=""),"",44)</f>
        <v/>
      </c>
      <c r="P46" s="29" t="str">
        <f>IF(O46="","",SUBTOTAL(9,E528:E539))</f>
        <v/>
      </c>
      <c r="Q46" s="29" t="str">
        <f>IF(P46="","",SUBTOTAL(9,F528:F539))</f>
        <v/>
      </c>
      <c r="R46" s="29" t="str">
        <f t="shared" si="0"/>
        <v/>
      </c>
      <c r="S46" s="29" t="str">
        <f>IF(P46="","",SUM($P$3:P46))</f>
        <v/>
      </c>
      <c r="T46" s="29" t="str">
        <f>IF(S46="","",SUM($Q$3:Q46))</f>
        <v/>
      </c>
      <c r="V46">
        <v>35</v>
      </c>
    </row>
    <row r="47" spans="4:22">
      <c r="D47" s="32">
        <f>IF(V47&lt;=calcs!$F$4,'Loan Calculator'!V47,"")</f>
        <v>36</v>
      </c>
      <c r="E47" s="29" cm="1">
        <f t="array" ref="E47">_xlfn.IFS(F47="","",G46&lt;F46,G46*calcs!$H$3,$D$8&lt;=0,$M$3-F47,$D$8&gt;0,$M$3-F47+$D$8,G46&lt;F46,G47*calcs!$H$3)</f>
        <v>1412.0668170106287</v>
      </c>
      <c r="F47" s="29" cm="1">
        <f t="array" ref="F47">_xlfn.IFS(F46="","",G46=0,"",G46&lt;1,"",G46&lt;F46,G46,AND(G46&gt;0,$D$8&gt;0),$D$8+($M$3-(G46*calcs!$H$3)),G46&gt;0,$M$3-(G46*calcs!$H$3))</f>
        <v>251.1894209373279</v>
      </c>
      <c r="G47" s="29" cm="1">
        <f t="array" ref="G47">_xlfn.IFS(F47="","",G46-F47&lt;1,0,ISBLANK(F47)=TRUE,"",G46-F47&gt;1,G46-F47)</f>
        <v>241817.40778088471</v>
      </c>
      <c r="H47" s="33">
        <f t="shared" si="1"/>
        <v>59877.224566126431</v>
      </c>
      <c r="I47" s="2" t="str" cm="1">
        <f t="array" ref="I47">_xlfn.IFS(OR(D47="",E47="",F47=""),"",MOD(D47,12)&lt;&gt;0,"",MOD(D47,12)=0,"Year End"&amp;" "&amp;D47/12)</f>
        <v>Year End 3</v>
      </c>
      <c r="O47" s="12" t="str">
        <f>IF(AND(I551="",H540=""),"",45)</f>
        <v/>
      </c>
      <c r="P47" s="27" t="str">
        <f>IF(O47="","",SUBTOTAL(9,E540:E551))</f>
        <v/>
      </c>
      <c r="Q47" s="27" t="str">
        <f>IF(P47="","",SUBTOTAL(9,F540:F551))</f>
        <v/>
      </c>
      <c r="R47" s="27" t="str">
        <f t="shared" si="0"/>
        <v/>
      </c>
      <c r="S47" s="27" t="str">
        <f>IF(P47="","",SUM($P$3:P47))</f>
        <v/>
      </c>
      <c r="T47" s="27" t="str">
        <f>IF(S47="","",SUM($Q$3:Q47))</f>
        <v/>
      </c>
      <c r="V47">
        <v>36</v>
      </c>
    </row>
    <row r="48" spans="4:22">
      <c r="D48" s="30">
        <f>IF(V48&lt;=calcs!$F$4,'Loan Calculator'!V48,"")</f>
        <v>37</v>
      </c>
      <c r="E48" s="27" cm="1">
        <f t="array" ref="E48">_xlfn.IFS(F48="","",G47&lt;F47,G47*calcs!$H$3,$D$8&lt;=0,$M$3-F48,$D$8&gt;0,$M$3-F48+$D$8,G47&lt;F47,G48*calcs!$H$3)</f>
        <v>1410.6015453884943</v>
      </c>
      <c r="F48" s="27" cm="1">
        <f t="array" ref="F48">_xlfn.IFS(F47="","",G47=0,"",G47&lt;1,"",G47&lt;F47,G47,AND(G47&gt;0,$D$8&gt;0),$D$8+($M$3-(G47*calcs!$H$3)),G47&gt;0,$M$3-(G47*calcs!$H$3))</f>
        <v>252.65469255946232</v>
      </c>
      <c r="G48" s="27" cm="1">
        <f t="array" ref="G48">_xlfn.IFS(F48="","",G47-F48&lt;1,0,ISBLANK(F48)=TRUE,"",G47-F48&gt;1,G47-F48)</f>
        <v>241564.75308832523</v>
      </c>
      <c r="H48" s="31">
        <f t="shared" si="1"/>
        <v>61540.480804074388</v>
      </c>
      <c r="I48" s="2" t="str" cm="1">
        <f t="array" ref="I48">_xlfn.IFS(OR(D48="",E48="",F48=""),"",MOD(D48,12)&lt;&gt;0,"",MOD(D48,12)=0,"Year End"&amp;" "&amp;D48/12)</f>
        <v/>
      </c>
      <c r="O48" s="28" t="str">
        <f>IF(AND(I563="",H552=""),"",46)</f>
        <v/>
      </c>
      <c r="P48" s="29" t="str">
        <f>IF(O48="","",SUBTOTAL(9,E552:E563))</f>
        <v/>
      </c>
      <c r="Q48" s="29" t="str">
        <f>IF(P48="","",SUBTOTAL(9,F552:F563))</f>
        <v/>
      </c>
      <c r="R48" s="29" t="str">
        <f t="shared" si="0"/>
        <v/>
      </c>
      <c r="S48" s="29" t="str">
        <f>IF(P48="","",SUM($P$3:P48))</f>
        <v/>
      </c>
      <c r="T48" s="29" t="str">
        <f>IF(S48="","",SUM($Q$3:Q48))</f>
        <v/>
      </c>
      <c r="V48">
        <v>37</v>
      </c>
    </row>
    <row r="49" spans="4:22">
      <c r="D49" s="32">
        <f>IF(V49&lt;=calcs!$F$4,'Loan Calculator'!V49,"")</f>
        <v>38</v>
      </c>
      <c r="E49" s="29" cm="1">
        <f t="array" ref="E49">_xlfn.IFS(F49="","",G48&lt;F48,G48*calcs!$H$3,$D$8&lt;=0,$M$3-F49,$D$8&gt;0,$M$3-F49+$D$8,G48&lt;F48,G49*calcs!$H$3)</f>
        <v>1409.127726348564</v>
      </c>
      <c r="F49" s="29" cm="1">
        <f t="array" ref="F49">_xlfn.IFS(F48="","",G48=0,"",G48&lt;1,"",G48&lt;F48,G48,AND(G48&gt;0,$D$8&gt;0),$D$8+($M$3-(G48*calcs!$H$3)),G48&gt;0,$M$3-(G48*calcs!$H$3))</f>
        <v>254.1285115993926</v>
      </c>
      <c r="G49" s="29" cm="1">
        <f t="array" ref="G49">_xlfn.IFS(F49="","",G48-F49&lt;1,0,ISBLANK(F49)=TRUE,"",G48-F49&gt;1,G48-F49)</f>
        <v>241310.62457672585</v>
      </c>
      <c r="H49" s="33">
        <f t="shared" si="1"/>
        <v>63203.737042022345</v>
      </c>
      <c r="I49" s="2" t="str" cm="1">
        <f t="array" ref="I49">_xlfn.IFS(OR(D49="",E49="",F49=""),"",MOD(D49,12)&lt;&gt;0,"",MOD(D49,12)=0,"Year End"&amp;" "&amp;D49/12)</f>
        <v/>
      </c>
      <c r="O49" s="12" t="str">
        <f>IF(AND(I575="",H564=""),"",47)</f>
        <v/>
      </c>
      <c r="P49" s="27" t="str">
        <f>IF(O49="","",SUBTOTAL(9,E564:E575))</f>
        <v/>
      </c>
      <c r="Q49" s="27" t="str">
        <f>IF(P49="","",SUBTOTAL(9,F564:F575))</f>
        <v/>
      </c>
      <c r="R49" s="27" t="str">
        <f t="shared" si="0"/>
        <v/>
      </c>
      <c r="S49" s="27" t="str">
        <f>IF(P49="","",SUM($P$3:P49))</f>
        <v/>
      </c>
      <c r="T49" s="27" t="str">
        <f>IF(S49="","",SUM($Q$3:Q49))</f>
        <v/>
      </c>
      <c r="V49">
        <v>38</v>
      </c>
    </row>
    <row r="50" spans="4:22">
      <c r="D50" s="30">
        <f>IF(V50&lt;=calcs!$F$4,'Loan Calculator'!V50,"")</f>
        <v>39</v>
      </c>
      <c r="E50" s="27" cm="1">
        <f t="array" ref="E50">_xlfn.IFS(F50="","",G49&lt;F49,G49*calcs!$H$3,$D$8&lt;=0,$M$3-F50,$D$8&gt;0,$M$3-F50+$D$8,G49&lt;F49,G50*calcs!$H$3)</f>
        <v>1407.6453100309009</v>
      </c>
      <c r="F50" s="27" cm="1">
        <f t="array" ref="F50">_xlfn.IFS(F49="","",G49=0,"",G49&lt;1,"",G49&lt;F49,G49,AND(G49&gt;0,$D$8&gt;0),$D$8+($M$3-(G49*calcs!$H$3)),G49&gt;0,$M$3-(G49*calcs!$H$3))</f>
        <v>255.61092791705573</v>
      </c>
      <c r="G50" s="27" cm="1">
        <f t="array" ref="G50">_xlfn.IFS(F50="","",G49-F50&lt;1,0,ISBLANK(F50)=TRUE,"",G49-F50&gt;1,G49-F50)</f>
        <v>241055.01364880879</v>
      </c>
      <c r="H50" s="31">
        <f t="shared" si="1"/>
        <v>64866.993279970302</v>
      </c>
      <c r="I50" s="2" t="str" cm="1">
        <f t="array" ref="I50">_xlfn.IFS(OR(D50="",E50="",F50=""),"",MOD(D50,12)&lt;&gt;0,"",MOD(D50,12)=0,"Year End"&amp;" "&amp;D50/12)</f>
        <v/>
      </c>
      <c r="O50" s="28" t="str">
        <f>IF(AND(I587="",H576=""),"",48)</f>
        <v/>
      </c>
      <c r="P50" s="29" t="str">
        <f>IF(O50="","",SUBTOTAL(9,E576:E587))</f>
        <v/>
      </c>
      <c r="Q50" s="29" t="str">
        <f>IF(P50="","",SUBTOTAL(9,F576:F587))</f>
        <v/>
      </c>
      <c r="R50" s="29" t="str">
        <f t="shared" si="0"/>
        <v/>
      </c>
      <c r="S50" s="29" t="str">
        <f>IF(P50="","",SUM($P$3:P50))</f>
        <v/>
      </c>
      <c r="T50" s="29" t="str">
        <f>IF(S50="","",SUM($Q$3:Q50))</f>
        <v/>
      </c>
      <c r="V50">
        <v>39</v>
      </c>
    </row>
    <row r="51" spans="4:22">
      <c r="D51" s="32">
        <f>IF(V51&lt;=calcs!$F$4,'Loan Calculator'!V51,"")</f>
        <v>40</v>
      </c>
      <c r="E51" s="29" cm="1">
        <f t="array" ref="E51">_xlfn.IFS(F51="","",G50&lt;F50,G50*calcs!$H$3,$D$8&lt;=0,$M$3-F51,$D$8&gt;0,$M$3-F51+$D$8,G50&lt;F50,G51*calcs!$H$3)</f>
        <v>1406.1542462847181</v>
      </c>
      <c r="F51" s="29" cm="1">
        <f t="array" ref="F51">_xlfn.IFS(F50="","",G50=0,"",G50&lt;1,"",G50&lt;F50,G50,AND(G50&gt;0,$D$8&gt;0),$D$8+($M$3-(G50*calcs!$H$3)),G50&gt;0,$M$3-(G50*calcs!$H$3))</f>
        <v>257.10199166323855</v>
      </c>
      <c r="G51" s="29" cm="1">
        <f t="array" ref="G51">_xlfn.IFS(F51="","",G50-F51&lt;1,0,ISBLANK(F51)=TRUE,"",G50-F51&gt;1,G50-F51)</f>
        <v>240797.91165714554</v>
      </c>
      <c r="H51" s="33">
        <f t="shared" si="1"/>
        <v>66530.249517918259</v>
      </c>
      <c r="I51" s="2" t="str" cm="1">
        <f t="array" ref="I51">_xlfn.IFS(OR(D51="",E51="",F51=""),"",MOD(D51,12)&lt;&gt;0,"",MOD(D51,12)=0,"Year End"&amp;" "&amp;D51/12)</f>
        <v/>
      </c>
      <c r="O51" s="12" t="str">
        <f>IF(AND(I599="",H588=""),"",49)</f>
        <v/>
      </c>
      <c r="P51" s="27" t="str">
        <f>IF(O51="","",SUBTOTAL(9,E588:E599))</f>
        <v/>
      </c>
      <c r="Q51" s="27" t="str">
        <f>IF(P51="","",SUBTOTAL(9,F588:F599))</f>
        <v/>
      </c>
      <c r="R51" s="27" t="str">
        <f t="shared" si="0"/>
        <v/>
      </c>
      <c r="S51" s="27" t="str">
        <f>IF(P51="","",SUM($P$3:P51))</f>
        <v/>
      </c>
      <c r="T51" s="27" t="str">
        <f>IF(S51="","",SUM($Q$3:Q51))</f>
        <v/>
      </c>
      <c r="V51">
        <v>40</v>
      </c>
    </row>
    <row r="52" spans="4:22">
      <c r="D52" s="30">
        <f>IF(V52&lt;=calcs!$F$4,'Loan Calculator'!V52,"")</f>
        <v>41</v>
      </c>
      <c r="E52" s="27" cm="1">
        <f t="array" ref="E52">_xlfn.IFS(F52="","",G51&lt;F51,G51*calcs!$H$3,$D$8&lt;=0,$M$3-F52,$D$8&gt;0,$M$3-F52+$D$8,G51&lt;F51,G52*calcs!$H$3)</f>
        <v>1404.6544846666823</v>
      </c>
      <c r="F52" s="27" cm="1">
        <f t="array" ref="F52">_xlfn.IFS(F51="","",G51=0,"",G51&lt;1,"",G51&lt;F51,G51,AND(G51&gt;0,$D$8&gt;0),$D$8+($M$3-(G51*calcs!$H$3)),G51&gt;0,$M$3-(G51*calcs!$H$3))</f>
        <v>258.60175328127434</v>
      </c>
      <c r="G52" s="27" cm="1">
        <f t="array" ref="G52">_xlfn.IFS(F52="","",G51-F52&lt;1,0,ISBLANK(F52)=TRUE,"",G51-F52&gt;1,G51-F52)</f>
        <v>240539.30990386425</v>
      </c>
      <c r="H52" s="31">
        <f t="shared" si="1"/>
        <v>68193.505755866208</v>
      </c>
      <c r="I52" s="2" t="str" cm="1">
        <f t="array" ref="I52">_xlfn.IFS(OR(D52="",E52="",F52=""),"",MOD(D52,12)&lt;&gt;0,"",MOD(D52,12)=0,"Year End"&amp;" "&amp;D52/12)</f>
        <v/>
      </c>
      <c r="O52" s="28" t="str">
        <f>IF(I611="","",50)</f>
        <v/>
      </c>
      <c r="P52" s="29" t="str">
        <f>IF(O52="","",SUBTOTAL(9,E600:E611))</f>
        <v/>
      </c>
      <c r="Q52" s="29" t="str">
        <f>IF(P52="","",SUBTOTAL(9,F600:F611))</f>
        <v/>
      </c>
      <c r="R52" s="29" t="str">
        <f t="shared" si="0"/>
        <v/>
      </c>
      <c r="S52" s="29" t="str">
        <f>IF(P52="","",SUM($P$3:P52))</f>
        <v/>
      </c>
      <c r="T52" s="29" t="str">
        <f>IF(S52="","",SUM($Q$3:Q52))</f>
        <v/>
      </c>
      <c r="V52">
        <v>41</v>
      </c>
    </row>
    <row r="53" spans="4:22">
      <c r="D53" s="32">
        <f>IF(V53&lt;=calcs!$F$4,'Loan Calculator'!V53,"")</f>
        <v>42</v>
      </c>
      <c r="E53" s="29" cm="1">
        <f t="array" ref="E53">_xlfn.IFS(F53="","",G52&lt;F52,G52*calcs!$H$3,$D$8&lt;=0,$M$3-F53,$D$8&gt;0,$M$3-F53+$D$8,G52&lt;F52,G53*calcs!$H$3)</f>
        <v>1403.1459744392082</v>
      </c>
      <c r="F53" s="29" cm="1">
        <f t="array" ref="F53">_xlfn.IFS(F52="","",G52=0,"",G52&lt;1,"",G52&lt;F52,G52,AND(G52&gt;0,$D$8&gt;0),$D$8+($M$3-(G52*calcs!$H$3)),G52&gt;0,$M$3-(G52*calcs!$H$3))</f>
        <v>260.1102635087484</v>
      </c>
      <c r="G53" s="29" cm="1">
        <f t="array" ref="G53">_xlfn.IFS(F53="","",G52-F53&lt;1,0,ISBLANK(F53)=TRUE,"",G52-F53&gt;1,G52-F53)</f>
        <v>240279.19964035551</v>
      </c>
      <c r="H53" s="33">
        <f t="shared" si="1"/>
        <v>69856.761993814158</v>
      </c>
      <c r="I53" s="2" t="str" cm="1">
        <f t="array" ref="I53">_xlfn.IFS(OR(D53="",E53="",F53=""),"",MOD(D53,12)&lt;&gt;0,"",MOD(D53,12)=0,"Year End"&amp;" "&amp;D53/12)</f>
        <v/>
      </c>
      <c r="V53">
        <v>42</v>
      </c>
    </row>
    <row r="54" spans="4:22">
      <c r="D54" s="30">
        <f>IF(V54&lt;=calcs!$F$4,'Loan Calculator'!V54,"")</f>
        <v>43</v>
      </c>
      <c r="E54" s="27" cm="1">
        <f t="array" ref="E54">_xlfn.IFS(F54="","",G53&lt;F53,G53*calcs!$H$3,$D$8&lt;=0,$M$3-F54,$D$8&gt;0,$M$3-F54+$D$8,G53&lt;F53,G54*calcs!$H$3)</f>
        <v>1401.6286645687405</v>
      </c>
      <c r="F54" s="27" cm="1">
        <f t="array" ref="F54">_xlfn.IFS(F53="","",G53=0,"",G53&lt;1,"",G53&lt;F53,G53,AND(G53&gt;0,$D$8&gt;0),$D$8+($M$3-(G53*calcs!$H$3)),G53&gt;0,$M$3-(G53*calcs!$H$3))</f>
        <v>261.62757337921607</v>
      </c>
      <c r="G54" s="27" cm="1">
        <f t="array" ref="G54">_xlfn.IFS(F54="","",G53-F54&lt;1,0,ISBLANK(F54)=TRUE,"",G53-F54&gt;1,G53-F54)</f>
        <v>240017.57206697628</v>
      </c>
      <c r="H54" s="31">
        <f t="shared" si="1"/>
        <v>71520.018231762107</v>
      </c>
      <c r="I54" s="2" t="str" cm="1">
        <f t="array" ref="I54">_xlfn.IFS(OR(D54="",E54="",F54=""),"",MOD(D54,12)&lt;&gt;0,"",MOD(D54,12)=0,"Year End"&amp;" "&amp;D54/12)</f>
        <v/>
      </c>
      <c r="V54">
        <v>43</v>
      </c>
    </row>
    <row r="55" spans="4:22">
      <c r="D55" s="32">
        <f>IF(V55&lt;=calcs!$F$4,'Loan Calculator'!V55,"")</f>
        <v>44</v>
      </c>
      <c r="E55" s="29" cm="1">
        <f t="array" ref="E55">_xlfn.IFS(F55="","",G54&lt;F54,G54*calcs!$H$3,$D$8&lt;=0,$M$3-F55,$D$8&gt;0,$M$3-F55+$D$8,G54&lt;F54,G55*calcs!$H$3)</f>
        <v>1400.1025037240283</v>
      </c>
      <c r="F55" s="29" cm="1">
        <f t="array" ref="F55">_xlfn.IFS(F54="","",G54=0,"",G54&lt;1,"",G54&lt;F54,G54,AND(G54&gt;0,$D$8&gt;0),$D$8+($M$3-(G54*calcs!$H$3)),G54&gt;0,$M$3-(G54*calcs!$H$3))</f>
        <v>263.15373422392827</v>
      </c>
      <c r="G55" s="29" cm="1">
        <f t="array" ref="G55">_xlfn.IFS(F55="","",G54-F55&lt;1,0,ISBLANK(F55)=TRUE,"",G54-F55&gt;1,G54-F55)</f>
        <v>239754.41833275236</v>
      </c>
      <c r="H55" s="33">
        <f t="shared" si="1"/>
        <v>73183.274469710072</v>
      </c>
      <c r="I55" s="2" t="str" cm="1">
        <f t="array" ref="I55">_xlfn.IFS(OR(D55="",E55="",F55=""),"",MOD(D55,12)&lt;&gt;0,"",MOD(D55,12)=0,"Year End"&amp;" "&amp;D55/12)</f>
        <v/>
      </c>
      <c r="V55">
        <v>44</v>
      </c>
    </row>
    <row r="56" spans="4:22">
      <c r="D56" s="30">
        <f>IF(V56&lt;=calcs!$F$4,'Loan Calculator'!V56,"")</f>
        <v>45</v>
      </c>
      <c r="E56" s="27" cm="1">
        <f t="array" ref="E56">_xlfn.IFS(F56="","",G55&lt;F55,G55*calcs!$H$3,$D$8&lt;=0,$M$3-F56,$D$8&gt;0,$M$3-F56+$D$8,G55&lt;F55,G56*calcs!$H$3)</f>
        <v>1398.5674402743889</v>
      </c>
      <c r="F56" s="27" cm="1">
        <f t="array" ref="F56">_xlfn.IFS(F55="","",G55=0,"",G55&lt;1,"",G55&lt;F55,G55,AND(G55&gt;0,$D$8&gt;0),$D$8+($M$3-(G55*calcs!$H$3)),G55&gt;0,$M$3-(G55*calcs!$H$3))</f>
        <v>264.68879767356771</v>
      </c>
      <c r="G56" s="27" cm="1">
        <f t="array" ref="G56">_xlfn.IFS(F56="","",G55-F56&lt;1,0,ISBLANK(F56)=TRUE,"",G55-F56&gt;1,G55-F56)</f>
        <v>239489.7295350788</v>
      </c>
      <c r="H56" s="31">
        <f t="shared" si="1"/>
        <v>74846.530707658036</v>
      </c>
      <c r="I56" s="2" t="str" cm="1">
        <f t="array" ref="I56">_xlfn.IFS(OR(D56="",E56="",F56=""),"",MOD(D56,12)&lt;&gt;0,"",MOD(D56,12)=0,"Year End"&amp;" "&amp;D56/12)</f>
        <v/>
      </c>
      <c r="V56">
        <v>45</v>
      </c>
    </row>
    <row r="57" spans="4:22">
      <c r="D57" s="32">
        <f>IF(V57&lt;=calcs!$F$4,'Loan Calculator'!V57,"")</f>
        <v>46</v>
      </c>
      <c r="E57" s="29" cm="1">
        <f t="array" ref="E57">_xlfn.IFS(F57="","",G56&lt;F56,G56*calcs!$H$3,$D$8&lt;=0,$M$3-F57,$D$8&gt;0,$M$3-F57+$D$8,G56&lt;F56,G57*calcs!$H$3)</f>
        <v>1397.0234222879596</v>
      </c>
      <c r="F57" s="29" cm="1">
        <f t="array" ref="F57">_xlfn.IFS(F56="","",G56=0,"",G56&lt;1,"",G56&lt;F56,G56,AND(G56&gt;0,$D$8&gt;0),$D$8+($M$3-(G56*calcs!$H$3)),G56&gt;0,$M$3-(G56*calcs!$H$3))</f>
        <v>266.23281565999696</v>
      </c>
      <c r="G57" s="29" cm="1">
        <f t="array" ref="G57">_xlfn.IFS(F57="","",G56-F57&lt;1,0,ISBLANK(F57)=TRUE,"",G56-F57&gt;1,G56-F57)</f>
        <v>239223.49671941882</v>
      </c>
      <c r="H57" s="33">
        <f t="shared" si="1"/>
        <v>76509.786945606</v>
      </c>
      <c r="I57" s="2" t="str" cm="1">
        <f t="array" ref="I57">_xlfn.IFS(OR(D57="",E57="",F57=""),"",MOD(D57,12)&lt;&gt;0,"",MOD(D57,12)=0,"Year End"&amp;" "&amp;D57/12)</f>
        <v/>
      </c>
      <c r="V57">
        <v>46</v>
      </c>
    </row>
    <row r="58" spans="4:22">
      <c r="D58" s="30">
        <f>IF(V58&lt;=calcs!$F$4,'Loan Calculator'!V58,"")</f>
        <v>47</v>
      </c>
      <c r="E58" s="27" cm="1">
        <f t="array" ref="E58">_xlfn.IFS(F58="","",G57&lt;F57,G57*calcs!$H$3,$D$8&lt;=0,$M$3-F58,$D$8&gt;0,$M$3-F58+$D$8,G57&lt;F57,G58*calcs!$H$3)</f>
        <v>1395.4703975299433</v>
      </c>
      <c r="F58" s="27" cm="1">
        <f t="array" ref="F58">_xlfn.IFS(F57="","",G57=0,"",G57&lt;1,"",G57&lt;F57,G57,AND(G57&gt;0,$D$8&gt;0),$D$8+($M$3-(G57*calcs!$H$3)),G57&gt;0,$M$3-(G57*calcs!$H$3))</f>
        <v>267.78584041801332</v>
      </c>
      <c r="G58" s="27" cm="1">
        <f t="array" ref="G58">_xlfn.IFS(F58="","",G57-F58&lt;1,0,ISBLANK(F58)=TRUE,"",G57-F58&gt;1,G57-F58)</f>
        <v>238955.71087900081</v>
      </c>
      <c r="H58" s="31">
        <f t="shared" si="1"/>
        <v>78173.043183553964</v>
      </c>
      <c r="I58" s="2" t="str" cm="1">
        <f t="array" ref="I58">_xlfn.IFS(OR(D58="",E58="",F58=""),"",MOD(D58,12)&lt;&gt;0,"",MOD(D58,12)=0,"Year End"&amp;" "&amp;D58/12)</f>
        <v/>
      </c>
      <c r="V58">
        <v>47</v>
      </c>
    </row>
    <row r="59" spans="4:22">
      <c r="D59" s="32">
        <f>IF(V59&lt;=calcs!$F$4,'Loan Calculator'!V59,"")</f>
        <v>48</v>
      </c>
      <c r="E59" s="29" cm="1">
        <f t="array" ref="E59">_xlfn.IFS(F59="","",G58&lt;F58,G58*calcs!$H$3,$D$8&lt;=0,$M$3-F59,$D$8&gt;0,$M$3-F59+$D$8,G58&lt;F58,G59*calcs!$H$3)</f>
        <v>1393.9083134608381</v>
      </c>
      <c r="F59" s="29" cm="1">
        <f t="array" ref="F59">_xlfn.IFS(F58="","",G58=0,"",G58&lt;1,"",G58&lt;F58,G58,AND(G58&gt;0,$D$8&gt;0),$D$8+($M$3-(G58*calcs!$H$3)),G58&gt;0,$M$3-(G58*calcs!$H$3))</f>
        <v>269.34792448711846</v>
      </c>
      <c r="G59" s="29" cm="1">
        <f t="array" ref="G59">_xlfn.IFS(F59="","",G58-F59&lt;1,0,ISBLANK(F59)=TRUE,"",G58-F59&gt;1,G58-F59)</f>
        <v>238686.36295451369</v>
      </c>
      <c r="H59" s="33">
        <f t="shared" si="1"/>
        <v>79836.299421501913</v>
      </c>
      <c r="I59" s="2" t="str" cm="1">
        <f t="array" ref="I59">_xlfn.IFS(OR(D59="",E59="",F59=""),"",MOD(D59,12)&lt;&gt;0,"",MOD(D59,12)=0,"Year End"&amp;" "&amp;D59/12)</f>
        <v>Year End 4</v>
      </c>
      <c r="V59">
        <v>48</v>
      </c>
    </row>
    <row r="60" spans="4:22">
      <c r="D60" s="30">
        <f>IF(V60&lt;=calcs!$F$4,'Loan Calculator'!V60,"")</f>
        <v>49</v>
      </c>
      <c r="E60" s="27" cm="1">
        <f t="array" ref="E60">_xlfn.IFS(F60="","",G59&lt;F59,G59*calcs!$H$3,$D$8&lt;=0,$M$3-F60,$D$8&gt;0,$M$3-F60+$D$8,G59&lt;F59,G60*calcs!$H$3)</f>
        <v>1392.3371172346633</v>
      </c>
      <c r="F60" s="27" cm="1">
        <f t="array" ref="F60">_xlfn.IFS(F59="","",G59=0,"",G59&lt;1,"",G59&lt;F59,G59,AND(G59&gt;0,$D$8&gt;0),$D$8+($M$3-(G59*calcs!$H$3)),G59&gt;0,$M$3-(G59*calcs!$H$3))</f>
        <v>270.9191207132933</v>
      </c>
      <c r="G60" s="27" cm="1">
        <f t="array" ref="G60">_xlfn.IFS(F60="","",G59-F60&lt;1,0,ISBLANK(F60)=TRUE,"",G59-F60&gt;1,G59-F60)</f>
        <v>238415.44383380041</v>
      </c>
      <c r="H60" s="31">
        <f t="shared" si="1"/>
        <v>81499.555659449878</v>
      </c>
      <c r="I60" s="2" t="str" cm="1">
        <f t="array" ref="I60">_xlfn.IFS(OR(D60="",E60="",F60=""),"",MOD(D60,12)&lt;&gt;0,"",MOD(D60,12)=0,"Year End"&amp;" "&amp;D60/12)</f>
        <v/>
      </c>
      <c r="V60">
        <v>49</v>
      </c>
    </row>
    <row r="61" spans="4:22">
      <c r="D61" s="32">
        <f>IF(V61&lt;=calcs!$F$4,'Loan Calculator'!V61,"")</f>
        <v>50</v>
      </c>
      <c r="E61" s="29" cm="1">
        <f t="array" ref="E61">_xlfn.IFS(F61="","",G60&lt;F60,G60*calcs!$H$3,$D$8&lt;=0,$M$3-F61,$D$8&gt;0,$M$3-F61+$D$8,G60&lt;F60,G61*calcs!$H$3)</f>
        <v>1390.7567556971692</v>
      </c>
      <c r="F61" s="29" cm="1">
        <f t="array" ref="F61">_xlfn.IFS(F60="","",G60=0,"",G60&lt;1,"",G60&lt;F60,G60,AND(G60&gt;0,$D$8&gt;0),$D$8+($M$3-(G60*calcs!$H$3)),G60&gt;0,$M$3-(G60*calcs!$H$3))</f>
        <v>272.49948225078742</v>
      </c>
      <c r="G61" s="29" cm="1">
        <f t="array" ref="G61">_xlfn.IFS(F61="","",G60-F61&lt;1,0,ISBLANK(F61)=TRUE,"",G60-F61&gt;1,G60-F61)</f>
        <v>238142.94435154961</v>
      </c>
      <c r="H61" s="33">
        <f t="shared" si="1"/>
        <v>83162.811897397827</v>
      </c>
      <c r="I61" s="2" t="str" cm="1">
        <f t="array" ref="I61">_xlfn.IFS(OR(D61="",E61="",F61=""),"",MOD(D61,12)&lt;&gt;0,"",MOD(D61,12)=0,"Year End"&amp;" "&amp;D61/12)</f>
        <v/>
      </c>
      <c r="V61">
        <v>50</v>
      </c>
    </row>
    <row r="62" spans="4:22">
      <c r="D62" s="30">
        <f>IF(V62&lt;=calcs!$F$4,'Loan Calculator'!V62,"")</f>
        <v>51</v>
      </c>
      <c r="E62" s="27" cm="1">
        <f t="array" ref="E62">_xlfn.IFS(F62="","",G61&lt;F61,G61*calcs!$H$3,$D$8&lt;=0,$M$3-F62,$D$8&gt;0,$M$3-F62+$D$8,G61&lt;F61,G62*calcs!$H$3)</f>
        <v>1389.1671753840394</v>
      </c>
      <c r="F62" s="27" cm="1">
        <f t="array" ref="F62">_xlfn.IFS(F61="","",G61=0,"",G61&lt;1,"",G61&lt;F61,G61,AND(G61&gt;0,$D$8&gt;0),$D$8+($M$3-(G61*calcs!$H$3)),G61&gt;0,$M$3-(G61*calcs!$H$3))</f>
        <v>274.0890625639172</v>
      </c>
      <c r="G62" s="27" cm="1">
        <f t="array" ref="G62">_xlfn.IFS(F62="","",G61-F62&lt;1,0,ISBLANK(F62)=TRUE,"",G61-F62&gt;1,G61-F62)</f>
        <v>237868.85528898568</v>
      </c>
      <c r="H62" s="31">
        <f t="shared" si="1"/>
        <v>84826.068135345777</v>
      </c>
      <c r="I62" s="2" t="str" cm="1">
        <f t="array" ref="I62">_xlfn.IFS(OR(D62="",E62="",F62=""),"",MOD(D62,12)&lt;&gt;0,"",MOD(D62,12)=0,"Year End"&amp;" "&amp;D62/12)</f>
        <v/>
      </c>
      <c r="V62">
        <v>51</v>
      </c>
    </row>
    <row r="63" spans="4:22">
      <c r="D63" s="32">
        <f>IF(V63&lt;=calcs!$F$4,'Loan Calculator'!V63,"")</f>
        <v>52</v>
      </c>
      <c r="E63" s="29" cm="1">
        <f t="array" ref="E63">_xlfn.IFS(F63="","",G62&lt;F62,G62*calcs!$H$3,$D$8&lt;=0,$M$3-F63,$D$8&gt;0,$M$3-F63+$D$8,G62&lt;F62,G63*calcs!$H$3)</f>
        <v>1387.5683225190833</v>
      </c>
      <c r="F63" s="29" cm="1">
        <f t="array" ref="F63">_xlfn.IFS(F62="","",G62=0,"",G62&lt;1,"",G62&lt;F62,G62,AND(G62&gt;0,$D$8&gt;0),$D$8+($M$3-(G62*calcs!$H$3)),G62&gt;0,$M$3-(G62*calcs!$H$3))</f>
        <v>275.68791542887334</v>
      </c>
      <c r="G63" s="29" cm="1">
        <f t="array" ref="G63">_xlfn.IFS(F63="","",G62-F63&lt;1,0,ISBLANK(F63)=TRUE,"",G62-F63&gt;1,G62-F63)</f>
        <v>237593.16737355682</v>
      </c>
      <c r="H63" s="33">
        <f t="shared" si="1"/>
        <v>86489.324373293741</v>
      </c>
      <c r="I63" s="2" t="str" cm="1">
        <f t="array" ref="I63">_xlfn.IFS(OR(D63="",E63="",F63=""),"",MOD(D63,12)&lt;&gt;0,"",MOD(D63,12)=0,"Year End"&amp;" "&amp;D63/12)</f>
        <v/>
      </c>
      <c r="V63">
        <v>52</v>
      </c>
    </row>
    <row r="64" spans="4:22">
      <c r="D64" s="30">
        <f>IF(V64&lt;=calcs!$F$4,'Loan Calculator'!V64,"")</f>
        <v>53</v>
      </c>
      <c r="E64" s="27" cm="1">
        <f t="array" ref="E64">_xlfn.IFS(F64="","",G63&lt;F63,G63*calcs!$H$3,$D$8&lt;=0,$M$3-F64,$D$8&gt;0,$M$3-F64+$D$8,G63&lt;F63,G64*calcs!$H$3)</f>
        <v>1385.9601430124148</v>
      </c>
      <c r="F64" s="27" cm="1">
        <f t="array" ref="F64">_xlfn.IFS(F63="","",G63=0,"",G63&lt;1,"",G63&lt;F63,G63,AND(G63&gt;0,$D$8&gt;0),$D$8+($M$3-(G63*calcs!$H$3)),G63&gt;0,$M$3-(G63*calcs!$H$3))</f>
        <v>277.29609493554176</v>
      </c>
      <c r="G64" s="27" cm="1">
        <f t="array" ref="G64">_xlfn.IFS(F64="","",G63-F64&lt;1,0,ISBLANK(F64)=TRUE,"",G63-F64&gt;1,G63-F64)</f>
        <v>237315.87127862129</v>
      </c>
      <c r="H64" s="31">
        <f t="shared" si="1"/>
        <v>88152.580611241705</v>
      </c>
      <c r="I64" s="2" t="str" cm="1">
        <f t="array" ref="I64">_xlfn.IFS(OR(D64="",E64="",F64=""),"",MOD(D64,12)&lt;&gt;0,"",MOD(D64,12)=0,"Year End"&amp;" "&amp;D64/12)</f>
        <v/>
      </c>
      <c r="V64">
        <v>53</v>
      </c>
    </row>
    <row r="65" spans="4:22">
      <c r="D65" s="32">
        <f>IF(V65&lt;=calcs!$F$4,'Loan Calculator'!V65,"")</f>
        <v>54</v>
      </c>
      <c r="E65" s="29" cm="1">
        <f t="array" ref="E65">_xlfn.IFS(F65="","",G64&lt;F64,G64*calcs!$H$3,$D$8&lt;=0,$M$3-F65,$D$8&gt;0,$M$3-F65+$D$8,G64&lt;F64,G65*calcs!$H$3)</f>
        <v>1384.3425824586243</v>
      </c>
      <c r="F65" s="29" cm="1">
        <f t="array" ref="F65">_xlfn.IFS(F64="","",G64=0,"",G64&lt;1,"",G64&lt;F64,G64,AND(G64&gt;0,$D$8&gt;0),$D$8+($M$3-(G64*calcs!$H$3)),G64&gt;0,$M$3-(G64*calcs!$H$3))</f>
        <v>278.91365548933231</v>
      </c>
      <c r="G65" s="29" cm="1">
        <f t="array" ref="G65">_xlfn.IFS(F65="","",G64-F65&lt;1,0,ISBLANK(F65)=TRUE,"",G64-F65&gt;1,G64-F65)</f>
        <v>237036.95762313195</v>
      </c>
      <c r="H65" s="33">
        <f t="shared" si="1"/>
        <v>89815.836849189669</v>
      </c>
      <c r="I65" s="2" t="str" cm="1">
        <f t="array" ref="I65">_xlfn.IFS(OR(D65="",E65="",F65=""),"",MOD(D65,12)&lt;&gt;0,"",MOD(D65,12)=0,"Year End"&amp;" "&amp;D65/12)</f>
        <v/>
      </c>
      <c r="V65">
        <v>54</v>
      </c>
    </row>
    <row r="66" spans="4:22">
      <c r="D66" s="30">
        <f>IF(V66&lt;=calcs!$F$4,'Loan Calculator'!V66,"")</f>
        <v>55</v>
      </c>
      <c r="E66" s="27" cm="1">
        <f t="array" ref="E66">_xlfn.IFS(F66="","",G65&lt;F65,G65*calcs!$H$3,$D$8&lt;=0,$M$3-F66,$D$8&gt;0,$M$3-F66+$D$8,G65&lt;F65,G66*calcs!$H$3)</f>
        <v>1382.7155861349365</v>
      </c>
      <c r="F66" s="27" cm="1">
        <f t="array" ref="F66">_xlfn.IFS(F65="","",G65=0,"",G65&lt;1,"",G65&lt;F65,G65,AND(G65&gt;0,$D$8&gt;0),$D$8+($M$3-(G65*calcs!$H$3)),G65&gt;0,$M$3-(G65*calcs!$H$3))</f>
        <v>280.54065181302008</v>
      </c>
      <c r="G66" s="27" cm="1">
        <f t="array" ref="G66">_xlfn.IFS(F66="","",G65-F66&lt;1,0,ISBLANK(F66)=TRUE,"",G65-F66&gt;1,G65-F66)</f>
        <v>236756.41697131892</v>
      </c>
      <c r="H66" s="31">
        <f t="shared" si="1"/>
        <v>91479.093087137619</v>
      </c>
      <c r="I66" s="2" t="str" cm="1">
        <f t="array" ref="I66">_xlfn.IFS(OR(D66="",E66="",F66=""),"",MOD(D66,12)&lt;&gt;0,"",MOD(D66,12)=0,"Year End"&amp;" "&amp;D66/12)</f>
        <v/>
      </c>
      <c r="V66">
        <v>55</v>
      </c>
    </row>
    <row r="67" spans="4:22">
      <c r="D67" s="32">
        <f>IF(V67&lt;=calcs!$F$4,'Loan Calculator'!V67,"")</f>
        <v>56</v>
      </c>
      <c r="E67" s="29" cm="1">
        <f t="array" ref="E67">_xlfn.IFS(F67="","",G66&lt;F66,G66*calcs!$H$3,$D$8&lt;=0,$M$3-F67,$D$8&gt;0,$M$3-F67+$D$8,G66&lt;F66,G67*calcs!$H$3)</f>
        <v>1381.0790989993604</v>
      </c>
      <c r="F67" s="29" cm="1">
        <f t="array" ref="F67">_xlfn.IFS(F66="","",G66=0,"",G66&lt;1,"",G66&lt;F66,G66,AND(G66&gt;0,$D$8&gt;0),$D$8+($M$3-(G66*calcs!$H$3)),G66&gt;0,$M$3-(G66*calcs!$H$3))</f>
        <v>282.17713894859617</v>
      </c>
      <c r="G67" s="29" cm="1">
        <f t="array" ref="G67">_xlfn.IFS(F67="","",G66-F67&lt;1,0,ISBLANK(F67)=TRUE,"",G66-F67&gt;1,G66-F67)</f>
        <v>236474.23983237031</v>
      </c>
      <c r="H67" s="33">
        <f t="shared" si="1"/>
        <v>93142.349325085568</v>
      </c>
      <c r="I67" s="2" t="str" cm="1">
        <f t="array" ref="I67">_xlfn.IFS(OR(D67="",E67="",F67=""),"",MOD(D67,12)&lt;&gt;0,"",MOD(D67,12)=0,"Year End"&amp;" "&amp;D67/12)</f>
        <v/>
      </c>
      <c r="V67">
        <v>56</v>
      </c>
    </row>
    <row r="68" spans="4:22">
      <c r="D68" s="30">
        <f>IF(V68&lt;=calcs!$F$4,'Loan Calculator'!V68,"")</f>
        <v>57</v>
      </c>
      <c r="E68" s="27" cm="1">
        <f t="array" ref="E68">_xlfn.IFS(F68="","",G67&lt;F67,G67*calcs!$H$3,$D$8&lt;=0,$M$3-F68,$D$8&gt;0,$M$3-F68+$D$8,G67&lt;F67,G68*calcs!$H$3)</f>
        <v>1379.4330656888269</v>
      </c>
      <c r="F68" s="27" cm="1">
        <f t="array" ref="F68">_xlfn.IFS(F67="","",G67=0,"",G67&lt;1,"",G67&lt;F67,G67,AND(G67&gt;0,$D$8&gt;0),$D$8+($M$3-(G67*calcs!$H$3)),G67&gt;0,$M$3-(G67*calcs!$H$3))</f>
        <v>283.82317225912971</v>
      </c>
      <c r="G68" s="27" cm="1">
        <f t="array" ref="G68">_xlfn.IFS(F68="","",G67-F68&lt;1,0,ISBLANK(F68)=TRUE,"",G67-F68&gt;1,G67-F68)</f>
        <v>236190.41666011119</v>
      </c>
      <c r="H68" s="31">
        <f t="shared" si="1"/>
        <v>94805.605563033532</v>
      </c>
      <c r="I68" s="2" t="str" cm="1">
        <f t="array" ref="I68">_xlfn.IFS(OR(D68="",E68="",F68=""),"",MOD(D68,12)&lt;&gt;0,"",MOD(D68,12)=0,"Year End"&amp;" "&amp;D68/12)</f>
        <v/>
      </c>
      <c r="V68">
        <v>57</v>
      </c>
    </row>
    <row r="69" spans="4:22">
      <c r="D69" s="32">
        <f>IF(V69&lt;=calcs!$F$4,'Loan Calculator'!V69,"")</f>
        <v>58</v>
      </c>
      <c r="E69" s="29" cm="1">
        <f t="array" ref="E69">_xlfn.IFS(F69="","",G68&lt;F68,G68*calcs!$H$3,$D$8&lt;=0,$M$3-F69,$D$8&gt;0,$M$3-F69+$D$8,G68&lt;F68,G69*calcs!$H$3)</f>
        <v>1377.7774305173155</v>
      </c>
      <c r="F69" s="29" cm="1">
        <f t="array" ref="F69">_xlfn.IFS(F68="","",G68=0,"",G68&lt;1,"",G68&lt;F68,G68,AND(G68&gt;0,$D$8&gt;0),$D$8+($M$3-(G68*calcs!$H$3)),G68&gt;0,$M$3-(G68*calcs!$H$3))</f>
        <v>285.47880743064115</v>
      </c>
      <c r="G69" s="29" cm="1">
        <f t="array" ref="G69">_xlfn.IFS(F69="","",G68-F69&lt;1,0,ISBLANK(F69)=TRUE,"",G68-F69&gt;1,G68-F69)</f>
        <v>235904.93785268057</v>
      </c>
      <c r="H69" s="33">
        <f t="shared" si="1"/>
        <v>96468.861800981496</v>
      </c>
      <c r="I69" s="2" t="str" cm="1">
        <f t="array" ref="I69">_xlfn.IFS(OR(D69="",E69="",F69=""),"",MOD(D69,12)&lt;&gt;0,"",MOD(D69,12)=0,"Year End"&amp;" "&amp;D69/12)</f>
        <v/>
      </c>
      <c r="V69">
        <v>58</v>
      </c>
    </row>
    <row r="70" spans="4:22">
      <c r="D70" s="30">
        <f>IF(V70&lt;=calcs!$F$4,'Loan Calculator'!V70,"")</f>
        <v>59</v>
      </c>
      <c r="E70" s="27" cm="1">
        <f t="array" ref="E70">_xlfn.IFS(F70="","",G69&lt;F69,G69*calcs!$H$3,$D$8&lt;=0,$M$3-F70,$D$8&gt;0,$M$3-F70+$D$8,G69&lt;F69,G70*calcs!$H$3)</f>
        <v>1376.1121374739701</v>
      </c>
      <c r="F70" s="27" cm="1">
        <f t="array" ref="F70">_xlfn.IFS(F69="","",G69=0,"",G69&lt;1,"",G69&lt;F69,G69,AND(G69&gt;0,$D$8&gt;0),$D$8+($M$3-(G69*calcs!$H$3)),G69&gt;0,$M$3-(G69*calcs!$H$3))</f>
        <v>287.14410047398655</v>
      </c>
      <c r="G70" s="27" cm="1">
        <f t="array" ref="G70">_xlfn.IFS(F70="","",G69-F70&lt;1,0,ISBLANK(F70)=TRUE,"",G69-F70&gt;1,G69-F70)</f>
        <v>235617.79375220658</v>
      </c>
      <c r="H70" s="31">
        <f t="shared" si="1"/>
        <v>98132.11803892946</v>
      </c>
      <c r="I70" s="2" t="str" cm="1">
        <f t="array" ref="I70">_xlfn.IFS(OR(D70="",E70="",F70=""),"",MOD(D70,12)&lt;&gt;0,"",MOD(D70,12)=0,"Year End"&amp;" "&amp;D70/12)</f>
        <v/>
      </c>
      <c r="V70">
        <v>59</v>
      </c>
    </row>
    <row r="71" spans="4:22">
      <c r="D71" s="32">
        <f>IF(V71&lt;=calcs!$F$4,'Loan Calculator'!V71,"")</f>
        <v>60</v>
      </c>
      <c r="E71" s="29" cm="1">
        <f t="array" ref="E71">_xlfn.IFS(F71="","",G70&lt;F70,G70*calcs!$H$3,$D$8&lt;=0,$M$3-F71,$D$8&gt;0,$M$3-F71+$D$8,G70&lt;F70,G71*calcs!$H$3)</f>
        <v>1374.4371302212051</v>
      </c>
      <c r="F71" s="29" cm="1">
        <f t="array" ref="F71">_xlfn.IFS(F70="","",G70=0,"",G70&lt;1,"",G70&lt;F70,G70,AND(G70&gt;0,$D$8&gt;0),$D$8+($M$3-(G70*calcs!$H$3)),G70&gt;0,$M$3-(G70*calcs!$H$3))</f>
        <v>288.81910772675155</v>
      </c>
      <c r="G71" s="29" cm="1">
        <f t="array" ref="G71">_xlfn.IFS(F71="","",G70-F71&lt;1,0,ISBLANK(F71)=TRUE,"",G70-F71&gt;1,G70-F71)</f>
        <v>235328.97464447984</v>
      </c>
      <c r="H71" s="33">
        <f t="shared" si="1"/>
        <v>99795.374276877425</v>
      </c>
      <c r="I71" s="2" t="str" cm="1">
        <f t="array" ref="I71">_xlfn.IFS(OR(D71="",E71="",F71=""),"",MOD(D71,12)&lt;&gt;0,"",MOD(D71,12)=0,"Year End"&amp;" "&amp;D71/12)</f>
        <v>Year End 5</v>
      </c>
      <c r="V71">
        <v>60</v>
      </c>
    </row>
    <row r="72" spans="4:22">
      <c r="D72" s="30">
        <f>IF(V72&lt;=calcs!$F$4,'Loan Calculator'!V72,"")</f>
        <v>61</v>
      </c>
      <c r="E72" s="27" cm="1">
        <f t="array" ref="E72">_xlfn.IFS(F72="","",G71&lt;F71,G71*calcs!$H$3,$D$8&lt;=0,$M$3-F72,$D$8&gt;0,$M$3-F72+$D$8,G71&lt;F71,G72*calcs!$H$3)</f>
        <v>1372.7523520927991</v>
      </c>
      <c r="F72" s="27" cm="1">
        <f t="array" ref="F72">_xlfn.IFS(F71="","",G71=0,"",G71&lt;1,"",G71&lt;F71,G71,AND(G71&gt;0,$D$8&gt;0),$D$8+($M$3-(G71*calcs!$H$3)),G71&gt;0,$M$3-(G71*calcs!$H$3))</f>
        <v>290.50388585515748</v>
      </c>
      <c r="G72" s="27" cm="1">
        <f t="array" ref="G72">_xlfn.IFS(F72="","",G71-F72&lt;1,0,ISBLANK(F72)=TRUE,"",G71-F72&gt;1,G71-F72)</f>
        <v>235038.47075862467</v>
      </c>
      <c r="H72" s="31">
        <f t="shared" si="1"/>
        <v>101458.63051482537</v>
      </c>
      <c r="I72" s="2" t="str" cm="1">
        <f t="array" ref="I72">_xlfn.IFS(OR(D72="",E72="",F72=""),"",MOD(D72,12)&lt;&gt;0,"",MOD(D72,12)=0,"Year End"&amp;" "&amp;D72/12)</f>
        <v/>
      </c>
      <c r="V72">
        <v>61</v>
      </c>
    </row>
    <row r="73" spans="4:22">
      <c r="D73" s="32">
        <f>IF(V73&lt;=calcs!$F$4,'Loan Calculator'!V73,"")</f>
        <v>62</v>
      </c>
      <c r="E73" s="29" cm="1">
        <f t="array" ref="E73">_xlfn.IFS(F73="","",G72&lt;F72,G72*calcs!$H$3,$D$8&lt;=0,$M$3-F73,$D$8&gt;0,$M$3-F73+$D$8,G72&lt;F72,G73*calcs!$H$3)</f>
        <v>1371.0577460919774</v>
      </c>
      <c r="F73" s="29" cm="1">
        <f t="array" ref="F73">_xlfn.IFS(F72="","",G72=0,"",G72&lt;1,"",G72&lt;F72,G72,AND(G72&gt;0,$D$8&gt;0),$D$8+($M$3-(G72*calcs!$H$3)),G72&gt;0,$M$3-(G72*calcs!$H$3))</f>
        <v>292.19849185597923</v>
      </c>
      <c r="G73" s="29" cm="1">
        <f t="array" ref="G73">_xlfn.IFS(F73="","",G72-F73&lt;1,0,ISBLANK(F73)=TRUE,"",G72-F73&gt;1,G72-F73)</f>
        <v>234746.27226676868</v>
      </c>
      <c r="H73" s="33">
        <f t="shared" si="1"/>
        <v>103121.88675277332</v>
      </c>
      <c r="I73" s="2" t="str" cm="1">
        <f t="array" ref="I73">_xlfn.IFS(OR(D73="",E73="",F73=""),"",MOD(D73,12)&lt;&gt;0,"",MOD(D73,12)=0,"Year End"&amp;" "&amp;D73/12)</f>
        <v/>
      </c>
      <c r="V73">
        <v>62</v>
      </c>
    </row>
    <row r="74" spans="4:22">
      <c r="D74" s="30">
        <f>IF(V74&lt;=calcs!$F$4,'Loan Calculator'!V74,"")</f>
        <v>63</v>
      </c>
      <c r="E74" s="27" cm="1">
        <f t="array" ref="E74">_xlfn.IFS(F74="","",G73&lt;F73,G73*calcs!$H$3,$D$8&lt;=0,$M$3-F74,$D$8&gt;0,$M$3-F74+$D$8,G73&lt;F73,G74*calcs!$H$3)</f>
        <v>1369.3532548894841</v>
      </c>
      <c r="F74" s="27" cm="1">
        <f t="array" ref="F74">_xlfn.IFS(F73="","",G73=0,"",G73&lt;1,"",G73&lt;F73,G73,AND(G73&gt;0,$D$8&gt;0),$D$8+($M$3-(G73*calcs!$H$3)),G73&gt;0,$M$3-(G73*calcs!$H$3))</f>
        <v>293.9029830584725</v>
      </c>
      <c r="G74" s="27" cm="1">
        <f t="array" ref="G74">_xlfn.IFS(F74="","",G73-F74&lt;1,0,ISBLANK(F74)=TRUE,"",G73-F74&gt;1,G73-F74)</f>
        <v>234452.3692837102</v>
      </c>
      <c r="H74" s="31">
        <f t="shared" si="1"/>
        <v>104785.14299072129</v>
      </c>
      <c r="I74" s="2" t="str" cm="1">
        <f t="array" ref="I74">_xlfn.IFS(OR(D74="",E74="",F74=""),"",MOD(D74,12)&lt;&gt;0,"",MOD(D74,12)=0,"Year End"&amp;" "&amp;D74/12)</f>
        <v/>
      </c>
      <c r="V74">
        <v>63</v>
      </c>
    </row>
    <row r="75" spans="4:22">
      <c r="D75" s="32">
        <f>IF(V75&lt;=calcs!$F$4,'Loan Calculator'!V75,"")</f>
        <v>64</v>
      </c>
      <c r="E75" s="29" cm="1">
        <f t="array" ref="E75">_xlfn.IFS(F75="","",G74&lt;F74,G74*calcs!$H$3,$D$8&lt;=0,$M$3-F75,$D$8&gt;0,$M$3-F75+$D$8,G74&lt;F74,G75*calcs!$H$3)</f>
        <v>1367.6388208216429</v>
      </c>
      <c r="F75" s="29" cm="1">
        <f t="array" ref="F75">_xlfn.IFS(F74="","",G74=0,"",G74&lt;1,"",G74&lt;F74,G74,AND(G74&gt;0,$D$8&gt;0),$D$8+($M$3-(G74*calcs!$H$3)),G74&gt;0,$M$3-(G74*calcs!$H$3))</f>
        <v>295.61741712631374</v>
      </c>
      <c r="G75" s="29" cm="1">
        <f t="array" ref="G75">_xlfn.IFS(F75="","",G74-F75&lt;1,0,ISBLANK(F75)=TRUE,"",G74-F75&gt;1,G74-F75)</f>
        <v>234156.75186658389</v>
      </c>
      <c r="H75" s="33">
        <f t="shared" si="1"/>
        <v>106448.39922866924</v>
      </c>
      <c r="I75" s="2" t="str" cm="1">
        <f t="array" ref="I75">_xlfn.IFS(OR(D75="",E75="",F75=""),"",MOD(D75,12)&lt;&gt;0,"",MOD(D75,12)=0,"Year End"&amp;" "&amp;D75/12)</f>
        <v/>
      </c>
      <c r="V75">
        <v>64</v>
      </c>
    </row>
    <row r="76" spans="4:22">
      <c r="D76" s="30">
        <f>IF(V76&lt;=calcs!$F$4,'Loan Calculator'!V76,"")</f>
        <v>65</v>
      </c>
      <c r="E76" s="27" cm="1">
        <f t="array" ref="E76">_xlfn.IFS(F76="","",G75&lt;F75,G75*calcs!$H$3,$D$8&lt;=0,$M$3-F76,$D$8&gt;0,$M$3-F76+$D$8,G75&lt;F75,G76*calcs!$H$3)</f>
        <v>1365.9143858884061</v>
      </c>
      <c r="F76" s="27" cm="1">
        <f t="array" ref="F76">_xlfn.IFS(F75="","",G75=0,"",G75&lt;1,"",G75&lt;F75,G75,AND(G75&gt;0,$D$8&gt;0),$D$8+($M$3-(G75*calcs!$H$3)),G75&gt;0,$M$3-(G75*calcs!$H$3))</f>
        <v>297.34185205955055</v>
      </c>
      <c r="G76" s="27" cm="1">
        <f t="array" ref="G76">_xlfn.IFS(F76="","",G75-F76&lt;1,0,ISBLANK(F76)=TRUE,"",G75-F76&gt;1,G75-F76)</f>
        <v>233859.41001452433</v>
      </c>
      <c r="H76" s="31">
        <f t="shared" si="1"/>
        <v>108111.65546661719</v>
      </c>
      <c r="I76" s="2" t="str" cm="1">
        <f t="array" ref="I76">_xlfn.IFS(OR(D76="",E76="",F76=""),"",MOD(D76,12)&lt;&gt;0,"",MOD(D76,12)=0,"Year End"&amp;" "&amp;D76/12)</f>
        <v/>
      </c>
      <c r="V76">
        <v>65</v>
      </c>
    </row>
    <row r="77" spans="4:22">
      <c r="D77" s="32">
        <f>IF(V77&lt;=calcs!$F$4,'Loan Calculator'!V77,"")</f>
        <v>66</v>
      </c>
      <c r="E77" s="29" cm="1">
        <f t="array" ref="E77">_xlfn.IFS(F77="","",G76&lt;F76,G76*calcs!$H$3,$D$8&lt;=0,$M$3-F77,$D$8&gt;0,$M$3-F77+$D$8,G76&lt;F76,G77*calcs!$H$3)</f>
        <v>1364.179891751392</v>
      </c>
      <c r="F77" s="29" cm="1">
        <f t="array" ref="F77">_xlfn.IFS(F76="","",G76=0,"",G76&lt;1,"",G76&lt;F76,G76,AND(G76&gt;0,$D$8&gt;0),$D$8+($M$3-(G76*calcs!$H$3)),G76&gt;0,$M$3-(G76*calcs!$H$3))</f>
        <v>299.0763461965646</v>
      </c>
      <c r="G77" s="29" cm="1">
        <f t="array" ref="G77">_xlfn.IFS(F77="","",G76-F77&lt;1,0,ISBLANK(F77)=TRUE,"",G76-F77&gt;1,G76-F77)</f>
        <v>233560.33366832777</v>
      </c>
      <c r="H77" s="33">
        <f t="shared" si="1"/>
        <v>109774.91170456515</v>
      </c>
      <c r="I77" s="2" t="str" cm="1">
        <f t="array" ref="I77">_xlfn.IFS(OR(D77="",E77="",F77=""),"",MOD(D77,12)&lt;&gt;0,"",MOD(D77,12)=0,"Year End"&amp;" "&amp;D77/12)</f>
        <v/>
      </c>
      <c r="V77">
        <v>66</v>
      </c>
    </row>
    <row r="78" spans="4:22">
      <c r="D78" s="30">
        <f>IF(V78&lt;=calcs!$F$4,'Loan Calculator'!V78,"")</f>
        <v>67</v>
      </c>
      <c r="E78" s="27" cm="1">
        <f t="array" ref="E78">_xlfn.IFS(F78="","",G77&lt;F77,G77*calcs!$H$3,$D$8&lt;=0,$M$3-F78,$D$8&gt;0,$M$3-F78+$D$8,G77&lt;F77,G78*calcs!$H$3)</f>
        <v>1362.435279731912</v>
      </c>
      <c r="F78" s="27" cm="1">
        <f t="array" ref="F78">_xlfn.IFS(F77="","",G77=0,"",G77&lt;1,"",G77&lt;F77,G77,AND(G77&gt;0,$D$8&gt;0),$D$8+($M$3-(G77*calcs!$H$3)),G77&gt;0,$M$3-(G77*calcs!$H$3))</f>
        <v>300.82095821604457</v>
      </c>
      <c r="G78" s="27" cm="1">
        <f t="array" ref="G78">_xlfn.IFS(F78="","",G77-F78&lt;1,0,ISBLANK(F78)=TRUE,"",G77-F78&gt;1,G77-F78)</f>
        <v>233259.51271011174</v>
      </c>
      <c r="H78" s="31">
        <f t="shared" ref="H78:H141" si="2">IF(OR(H77=0,H77="",E78="",F78=""),"",H77+E78+F78)</f>
        <v>111438.16794251312</v>
      </c>
      <c r="I78" s="2" t="str" cm="1">
        <f t="array" ref="I78">_xlfn.IFS(OR(D78="",E78="",F78=""),"",MOD(D78,12)&lt;&gt;0,"",MOD(D78,12)=0,"Year End"&amp;" "&amp;D78/12)</f>
        <v/>
      </c>
      <c r="V78">
        <v>67</v>
      </c>
    </row>
    <row r="79" spans="4:22">
      <c r="D79" s="32">
        <f>IF(V79&lt;=calcs!$F$4,'Loan Calculator'!V79,"")</f>
        <v>68</v>
      </c>
      <c r="E79" s="29" cm="1">
        <f t="array" ref="E79">_xlfn.IFS(F79="","",G78&lt;F78,G78*calcs!$H$3,$D$8&lt;=0,$M$3-F79,$D$8&gt;0,$M$3-F79+$D$8,G78&lt;F78,G79*calcs!$H$3)</f>
        <v>1360.6804908089853</v>
      </c>
      <c r="F79" s="29" cm="1">
        <f t="array" ref="F79">_xlfn.IFS(F78="","",G78=0,"",G78&lt;1,"",G78&lt;F78,G78,AND(G78&gt;0,$D$8&gt;0),$D$8+($M$3-(G78*calcs!$H$3)),G78&gt;0,$M$3-(G78*calcs!$H$3))</f>
        <v>302.57574713897134</v>
      </c>
      <c r="G79" s="29" cm="1">
        <f t="array" ref="G79">_xlfn.IFS(F79="","",G78-F79&lt;1,0,ISBLANK(F79)=TRUE,"",G78-F79&gt;1,G78-F79)</f>
        <v>232956.93696297277</v>
      </c>
      <c r="H79" s="33">
        <f t="shared" si="2"/>
        <v>113101.42418046106</v>
      </c>
      <c r="I79" s="2" t="str" cm="1">
        <f t="array" ref="I79">_xlfn.IFS(OR(D79="",E79="",F79=""),"",MOD(D79,12)&lt;&gt;0,"",MOD(D79,12)=0,"Year End"&amp;" "&amp;D79/12)</f>
        <v/>
      </c>
      <c r="V79">
        <v>68</v>
      </c>
    </row>
    <row r="80" spans="4:22">
      <c r="D80" s="30">
        <f>IF(V80&lt;=calcs!$F$4,'Loan Calculator'!V80,"")</f>
        <v>69</v>
      </c>
      <c r="E80" s="27" cm="1">
        <f t="array" ref="E80">_xlfn.IFS(F80="","",G79&lt;F79,G79*calcs!$H$3,$D$8&lt;=0,$M$3-F80,$D$8&gt;0,$M$3-F80+$D$8,G79&lt;F79,G80*calcs!$H$3)</f>
        <v>1358.9154656173412</v>
      </c>
      <c r="F80" s="27" cm="1">
        <f t="array" ref="F80">_xlfn.IFS(F79="","",G79=0,"",G79&lt;1,"",G79&lt;F79,G79,AND(G79&gt;0,$D$8&gt;0),$D$8+($M$3-(G79*calcs!$H$3)),G79&gt;0,$M$3-(G79*calcs!$H$3))</f>
        <v>304.34077233061544</v>
      </c>
      <c r="G80" s="27" cm="1">
        <f t="array" ref="G80">_xlfn.IFS(F80="","",G79-F80&lt;1,0,ISBLANK(F80)=TRUE,"",G79-F80&gt;1,G79-F80)</f>
        <v>232652.59619064216</v>
      </c>
      <c r="H80" s="31">
        <f t="shared" si="2"/>
        <v>114764.68041840901</v>
      </c>
      <c r="I80" s="2" t="str" cm="1">
        <f t="array" ref="I80">_xlfn.IFS(OR(D80="",E80="",F80=""),"",MOD(D80,12)&lt;&gt;0,"",MOD(D80,12)=0,"Year End"&amp;" "&amp;D80/12)</f>
        <v/>
      </c>
      <c r="V80">
        <v>69</v>
      </c>
    </row>
    <row r="81" spans="4:22">
      <c r="D81" s="32">
        <f>IF(V81&lt;=calcs!$F$4,'Loan Calculator'!V81,"")</f>
        <v>70</v>
      </c>
      <c r="E81" s="29" cm="1">
        <f t="array" ref="E81">_xlfn.IFS(F81="","",G80&lt;F80,G80*calcs!$H$3,$D$8&lt;=0,$M$3-F81,$D$8&gt;0,$M$3-F81+$D$8,G80&lt;F80,G81*calcs!$H$3)</f>
        <v>1357.1401444454127</v>
      </c>
      <c r="F81" s="29" cm="1">
        <f t="array" ref="F81">_xlfn.IFS(F80="","",G80=0,"",G80&lt;1,"",G80&lt;F80,G80,AND(G80&gt;0,$D$8&gt;0),$D$8+($M$3-(G80*calcs!$H$3)),G80&gt;0,$M$3-(G80*calcs!$H$3))</f>
        <v>306.11609350254389</v>
      </c>
      <c r="G81" s="29" cm="1">
        <f t="array" ref="G81">_xlfn.IFS(F81="","",G80-F81&lt;1,0,ISBLANK(F81)=TRUE,"",G80-F81&gt;1,G80-F81)</f>
        <v>232346.4800971396</v>
      </c>
      <c r="H81" s="33">
        <f t="shared" si="2"/>
        <v>116427.93665635696</v>
      </c>
      <c r="I81" s="2" t="str" cm="1">
        <f t="array" ref="I81">_xlfn.IFS(OR(D81="",E81="",F81=""),"",MOD(D81,12)&lt;&gt;0,"",MOD(D81,12)=0,"Year End"&amp;" "&amp;D81/12)</f>
        <v/>
      </c>
      <c r="V81">
        <v>70</v>
      </c>
    </row>
    <row r="82" spans="4:22">
      <c r="D82" s="30">
        <f>IF(V82&lt;=calcs!$F$4,'Loan Calculator'!V82,"")</f>
        <v>71</v>
      </c>
      <c r="E82" s="27" cm="1">
        <f t="array" ref="E82">_xlfn.IFS(F82="","",G81&lt;F81,G81*calcs!$H$3,$D$8&lt;=0,$M$3-F82,$D$8&gt;0,$M$3-F82+$D$8,G81&lt;F81,G82*calcs!$H$3)</f>
        <v>1355.3544672333144</v>
      </c>
      <c r="F82" s="27" cm="1">
        <f t="array" ref="F82">_xlfn.IFS(F81="","",G81=0,"",G81&lt;1,"",G81&lt;F81,G81,AND(G81&gt;0,$D$8&gt;0),$D$8+($M$3-(G81*calcs!$H$3)),G81&gt;0,$M$3-(G81*calcs!$H$3))</f>
        <v>307.90177071464223</v>
      </c>
      <c r="G82" s="27" cm="1">
        <f t="array" ref="G82">_xlfn.IFS(F82="","",G81-F82&lt;1,0,ISBLANK(F82)=TRUE,"",G81-F82&gt;1,G81-F82)</f>
        <v>232038.57832642496</v>
      </c>
      <c r="H82" s="31">
        <f t="shared" si="2"/>
        <v>118091.19289430491</v>
      </c>
      <c r="I82" s="2" t="str" cm="1">
        <f t="array" ref="I82">_xlfn.IFS(OR(D82="",E82="",F82=""),"",MOD(D82,12)&lt;&gt;0,"",MOD(D82,12)=0,"Year End"&amp;" "&amp;D82/12)</f>
        <v/>
      </c>
      <c r="V82">
        <v>71</v>
      </c>
    </row>
    <row r="83" spans="4:22">
      <c r="D83" s="32">
        <f>IF(V83&lt;=calcs!$F$4,'Loan Calculator'!V83,"")</f>
        <v>72</v>
      </c>
      <c r="E83" s="29" cm="1">
        <f t="array" ref="E83">_xlfn.IFS(F83="","",G82&lt;F82,G82*calcs!$H$3,$D$8&lt;=0,$M$3-F83,$D$8&gt;0,$M$3-F83+$D$8,G82&lt;F82,G83*calcs!$H$3)</f>
        <v>1353.5583735708124</v>
      </c>
      <c r="F83" s="29" cm="1">
        <f t="array" ref="F83">_xlfn.IFS(F82="","",G82=0,"",G82&lt;1,"",G82&lt;F82,G82,AND(G82&gt;0,$D$8&gt;0),$D$8+($M$3-(G82*calcs!$H$3)),G82&gt;0,$M$3-(G82*calcs!$H$3))</f>
        <v>309.69786437714424</v>
      </c>
      <c r="G83" s="29" cm="1">
        <f t="array" ref="G83">_xlfn.IFS(F83="","",G82-F83&lt;1,0,ISBLANK(F83)=TRUE,"",G82-F83&gt;1,G82-F83)</f>
        <v>231728.88046204782</v>
      </c>
      <c r="H83" s="33">
        <f t="shared" si="2"/>
        <v>119754.44913225286</v>
      </c>
      <c r="I83" s="2" t="str" cm="1">
        <f t="array" ref="I83">_xlfn.IFS(OR(D83="",E83="",F83=""),"",MOD(D83,12)&lt;&gt;0,"",MOD(D83,12)=0,"Year End"&amp;" "&amp;D83/12)</f>
        <v>Year End 6</v>
      </c>
      <c r="V83">
        <v>72</v>
      </c>
    </row>
    <row r="84" spans="4:22">
      <c r="D84" s="30">
        <f>IF(V84&lt;=calcs!$F$4,'Loan Calculator'!V84,"")</f>
        <v>73</v>
      </c>
      <c r="E84" s="27" cm="1">
        <f t="array" ref="E84">_xlfn.IFS(F84="","",G83&lt;F83,G83*calcs!$H$3,$D$8&lt;=0,$M$3-F84,$D$8&gt;0,$M$3-F84+$D$8,G83&lt;F83,G84*calcs!$H$3)</f>
        <v>1351.7518026952789</v>
      </c>
      <c r="F84" s="27" cm="1">
        <f t="array" ref="F84">_xlfn.IFS(F83="","",G83=0,"",G83&lt;1,"",G83&lt;F83,G83,AND(G83&gt;0,$D$8&gt;0),$D$8+($M$3-(G83*calcs!$H$3)),G83&gt;0,$M$3-(G83*calcs!$H$3))</f>
        <v>311.50443525267769</v>
      </c>
      <c r="G84" s="27" cm="1">
        <f t="array" ref="G84">_xlfn.IFS(F84="","",G83-F84&lt;1,0,ISBLANK(F84)=TRUE,"",G83-F84&gt;1,G83-F84)</f>
        <v>231417.37602679513</v>
      </c>
      <c r="H84" s="31">
        <f t="shared" si="2"/>
        <v>121417.70537020081</v>
      </c>
      <c r="I84" s="2" t="str" cm="1">
        <f t="array" ref="I84">_xlfn.IFS(OR(D84="",E84="",F84=""),"",MOD(D84,12)&lt;&gt;0,"",MOD(D84,12)=0,"Year End"&amp;" "&amp;D84/12)</f>
        <v/>
      </c>
      <c r="V84">
        <v>73</v>
      </c>
    </row>
    <row r="85" spans="4:22">
      <c r="D85" s="32">
        <f>IF(V85&lt;=calcs!$F$4,'Loan Calculator'!V85,"")</f>
        <v>74</v>
      </c>
      <c r="E85" s="29" cm="1">
        <f t="array" ref="E85">_xlfn.IFS(F85="","",G84&lt;F84,G84*calcs!$H$3,$D$8&lt;=0,$M$3-F85,$D$8&gt;0,$M$3-F85+$D$8,G84&lt;F84,G85*calcs!$H$3)</f>
        <v>1349.9346934896382</v>
      </c>
      <c r="F85" s="29" cm="1">
        <f t="array" ref="F85">_xlfn.IFS(F84="","",G84=0,"",G84&lt;1,"",G84&lt;F84,G84,AND(G84&gt;0,$D$8&gt;0),$D$8+($M$3-(G84*calcs!$H$3)),G84&gt;0,$M$3-(G84*calcs!$H$3))</f>
        <v>313.32154445831839</v>
      </c>
      <c r="G85" s="29" cm="1">
        <f t="array" ref="G85">_xlfn.IFS(F85="","",G84-F85&lt;1,0,ISBLANK(F85)=TRUE,"",G84-F85&gt;1,G84-F85)</f>
        <v>231104.0544823368</v>
      </c>
      <c r="H85" s="33">
        <f t="shared" si="2"/>
        <v>123080.96160814876</v>
      </c>
      <c r="I85" s="2" t="str" cm="1">
        <f t="array" ref="I85">_xlfn.IFS(OR(D85="",E85="",F85=""),"",MOD(D85,12)&lt;&gt;0,"",MOD(D85,12)=0,"Year End"&amp;" "&amp;D85/12)</f>
        <v/>
      </c>
      <c r="V85">
        <v>74</v>
      </c>
    </row>
    <row r="86" spans="4:22">
      <c r="D86" s="30">
        <f>IF(V86&lt;=calcs!$F$4,'Loan Calculator'!V86,"")</f>
        <v>75</v>
      </c>
      <c r="E86" s="27" cm="1">
        <f t="array" ref="E86">_xlfn.IFS(F86="","",G85&lt;F85,G85*calcs!$H$3,$D$8&lt;=0,$M$3-F86,$D$8&gt;0,$M$3-F86+$D$8,G85&lt;F85,G86*calcs!$H$3)</f>
        <v>1348.106984480298</v>
      </c>
      <c r="F86" s="27" cm="1">
        <f t="array" ref="F86">_xlfn.IFS(F85="","",G85=0,"",G85&lt;1,"",G85&lt;F85,G85,AND(G85&gt;0,$D$8&gt;0),$D$8+($M$3-(G85*calcs!$H$3)),G85&gt;0,$M$3-(G85*calcs!$H$3))</f>
        <v>315.14925346765858</v>
      </c>
      <c r="G86" s="27" cm="1">
        <f t="array" ref="G86">_xlfn.IFS(F86="","",G85-F86&lt;1,0,ISBLANK(F86)=TRUE,"",G85-F86&gt;1,G85-F86)</f>
        <v>230788.90522886915</v>
      </c>
      <c r="H86" s="31">
        <f t="shared" si="2"/>
        <v>124744.21784609673</v>
      </c>
      <c r="I86" s="2" t="str" cm="1">
        <f t="array" ref="I86">_xlfn.IFS(OR(D86="",E86="",F86=""),"",MOD(D86,12)&lt;&gt;0,"",MOD(D86,12)=0,"Year End"&amp;" "&amp;D86/12)</f>
        <v/>
      </c>
      <c r="V86">
        <v>75</v>
      </c>
    </row>
    <row r="87" spans="4:22">
      <c r="D87" s="32">
        <f>IF(V87&lt;=calcs!$F$4,'Loan Calculator'!V87,"")</f>
        <v>76</v>
      </c>
      <c r="E87" s="29" cm="1">
        <f t="array" ref="E87">_xlfn.IFS(F87="","",G86&lt;F86,G86*calcs!$H$3,$D$8&lt;=0,$M$3-F87,$D$8&gt;0,$M$3-F87+$D$8,G86&lt;F86,G87*calcs!$H$3)</f>
        <v>1346.26861383507</v>
      </c>
      <c r="F87" s="29" cm="1">
        <f t="array" ref="F87">_xlfn.IFS(F86="","",G86=0,"",G86&lt;1,"",G86&lt;F86,G86,AND(G86&gt;0,$D$8&gt;0),$D$8+($M$3-(G86*calcs!$H$3)),G86&gt;0,$M$3-(G86*calcs!$H$3))</f>
        <v>316.98762411288658</v>
      </c>
      <c r="G87" s="29" cm="1">
        <f t="array" ref="G87">_xlfn.IFS(F87="","",G86-F87&lt;1,0,ISBLANK(F87)=TRUE,"",G86-F87&gt;1,G86-F87)</f>
        <v>230471.91760475625</v>
      </c>
      <c r="H87" s="33">
        <f t="shared" si="2"/>
        <v>126407.47408404468</v>
      </c>
      <c r="I87" s="2" t="str" cm="1">
        <f t="array" ref="I87">_xlfn.IFS(OR(D87="",E87="",F87=""),"",MOD(D87,12)&lt;&gt;0,"",MOD(D87,12)=0,"Year End"&amp;" "&amp;D87/12)</f>
        <v/>
      </c>
      <c r="V87">
        <v>76</v>
      </c>
    </row>
    <row r="88" spans="4:22">
      <c r="D88" s="30">
        <f>IF(V88&lt;=calcs!$F$4,'Loan Calculator'!V88,"")</f>
        <v>77</v>
      </c>
      <c r="E88" s="27" cm="1">
        <f t="array" ref="E88">_xlfn.IFS(F88="","",G87&lt;F87,G87*calcs!$H$3,$D$8&lt;=0,$M$3-F88,$D$8&gt;0,$M$3-F88+$D$8,G87&lt;F87,G88*calcs!$H$3)</f>
        <v>1344.4195193610783</v>
      </c>
      <c r="F88" s="27" cm="1">
        <f t="array" ref="F88">_xlfn.IFS(F87="","",G87=0,"",G87&lt;1,"",G87&lt;F87,G87,AND(G87&gt;0,$D$8&gt;0),$D$8+($M$3-(G87*calcs!$H$3)),G87&gt;0,$M$3-(G87*calcs!$H$3))</f>
        <v>318.83671858687831</v>
      </c>
      <c r="G88" s="27" cm="1">
        <f t="array" ref="G88">_xlfn.IFS(F88="","",G87-F88&lt;1,0,ISBLANK(F88)=TRUE,"",G87-F88&gt;1,G87-F88)</f>
        <v>230153.08088616937</v>
      </c>
      <c r="H88" s="31">
        <f t="shared" si="2"/>
        <v>128070.73032199264</v>
      </c>
      <c r="I88" s="2" t="str" cm="1">
        <f t="array" ref="I88">_xlfn.IFS(OR(D88="",E88="",F88=""),"",MOD(D88,12)&lt;&gt;0,"",MOD(D88,12)=0,"Year End"&amp;" "&amp;D88/12)</f>
        <v/>
      </c>
      <c r="V88">
        <v>77</v>
      </c>
    </row>
    <row r="89" spans="4:22">
      <c r="D89" s="32">
        <f>IF(V89&lt;=calcs!$F$4,'Loan Calculator'!V89,"")</f>
        <v>78</v>
      </c>
      <c r="E89" s="29" cm="1">
        <f t="array" ref="E89">_xlfn.IFS(F89="","",G88&lt;F88,G88*calcs!$H$3,$D$8&lt;=0,$M$3-F89,$D$8&gt;0,$M$3-F89+$D$8,G88&lt;F88,G89*calcs!$H$3)</f>
        <v>1342.5596385026547</v>
      </c>
      <c r="F89" s="29" cm="1">
        <f t="array" ref="F89">_xlfn.IFS(F88="","",G88=0,"",G88&lt;1,"",G88&lt;F88,G88,AND(G88&gt;0,$D$8&gt;0),$D$8+($M$3-(G88*calcs!$H$3)),G88&gt;0,$M$3-(G88*calcs!$H$3))</f>
        <v>320.6965994453019</v>
      </c>
      <c r="G89" s="29" cm="1">
        <f t="array" ref="G89">_xlfn.IFS(F89="","",G88-F89&lt;1,0,ISBLANK(F89)=TRUE,"",G88-F89&gt;1,G88-F89)</f>
        <v>229832.38428672406</v>
      </c>
      <c r="H89" s="33">
        <f t="shared" si="2"/>
        <v>129733.9865599406</v>
      </c>
      <c r="I89" s="2" t="str" cm="1">
        <f t="array" ref="I89">_xlfn.IFS(OR(D89="",E89="",F89=""),"",MOD(D89,12)&lt;&gt;0,"",MOD(D89,12)=0,"Year End"&amp;" "&amp;D89/12)</f>
        <v/>
      </c>
      <c r="V89">
        <v>78</v>
      </c>
    </row>
    <row r="90" spans="4:22">
      <c r="D90" s="30">
        <f>IF(V90&lt;=calcs!$F$4,'Loan Calculator'!V90,"")</f>
        <v>79</v>
      </c>
      <c r="E90" s="27" cm="1">
        <f t="array" ref="E90">_xlfn.IFS(F90="","",G89&lt;F89,G89*calcs!$H$3,$D$8&lt;=0,$M$3-F90,$D$8&gt;0,$M$3-F90+$D$8,G89&lt;F89,G90*calcs!$H$3)</f>
        <v>1340.6889083392236</v>
      </c>
      <c r="F90" s="27" cm="1">
        <f t="array" ref="F90">_xlfn.IFS(F89="","",G89=0,"",G89&lt;1,"",G89&lt;F89,G89,AND(G89&gt;0,$D$8&gt;0),$D$8+($M$3-(G89*calcs!$H$3)),G89&gt;0,$M$3-(G89*calcs!$H$3))</f>
        <v>322.56732960873296</v>
      </c>
      <c r="G90" s="27" cm="1">
        <f t="array" ref="G90">_xlfn.IFS(F90="","",G89-F90&lt;1,0,ISBLANK(F90)=TRUE,"",G89-F90&gt;1,G89-F90)</f>
        <v>229509.81695711534</v>
      </c>
      <c r="H90" s="31">
        <f t="shared" si="2"/>
        <v>131397.24279788855</v>
      </c>
      <c r="I90" s="2" t="str" cm="1">
        <f t="array" ref="I90">_xlfn.IFS(OR(D90="",E90="",F90=""),"",MOD(D90,12)&lt;&gt;0,"",MOD(D90,12)=0,"Year End"&amp;" "&amp;D90/12)</f>
        <v/>
      </c>
      <c r="V90">
        <v>79</v>
      </c>
    </row>
    <row r="91" spans="4:22">
      <c r="D91" s="32">
        <f>IF(V91&lt;=calcs!$F$4,'Loan Calculator'!V91,"")</f>
        <v>80</v>
      </c>
      <c r="E91" s="29" cm="1">
        <f t="array" ref="E91">_xlfn.IFS(F91="","",G90&lt;F90,G90*calcs!$H$3,$D$8&lt;=0,$M$3-F91,$D$8&gt;0,$M$3-F91+$D$8,G90&lt;F90,G91*calcs!$H$3)</f>
        <v>1338.8072655831729</v>
      </c>
      <c r="F91" s="29" cm="1">
        <f t="array" ref="F91">_xlfn.IFS(F90="","",G90=0,"",G90&lt;1,"",G90&lt;F90,G90,AND(G90&gt;0,$D$8&gt;0),$D$8+($M$3-(G90*calcs!$H$3)),G90&gt;0,$M$3-(G90*calcs!$H$3))</f>
        <v>324.44897236478369</v>
      </c>
      <c r="G91" s="29" cm="1">
        <f t="array" ref="G91">_xlfn.IFS(F91="","",G90-F91&lt;1,0,ISBLANK(F91)=TRUE,"",G90-F91&gt;1,G90-F91)</f>
        <v>229185.36798475057</v>
      </c>
      <c r="H91" s="33">
        <f t="shared" si="2"/>
        <v>133060.49903583649</v>
      </c>
      <c r="I91" s="2" t="str" cm="1">
        <f t="array" ref="I91">_xlfn.IFS(OR(D91="",E91="",F91=""),"",MOD(D91,12)&lt;&gt;0,"",MOD(D91,12)=0,"Year End"&amp;" "&amp;D91/12)</f>
        <v/>
      </c>
      <c r="V91">
        <v>80</v>
      </c>
    </row>
    <row r="92" spans="4:22">
      <c r="D92" s="30">
        <f>IF(V92&lt;=calcs!$F$4,'Loan Calculator'!V92,"")</f>
        <v>81</v>
      </c>
      <c r="E92" s="27" cm="1">
        <f t="array" ref="E92">_xlfn.IFS(F92="","",G91&lt;F91,G91*calcs!$H$3,$D$8&lt;=0,$M$3-F92,$D$8&gt;0,$M$3-F92+$D$8,G91&lt;F91,G92*calcs!$H$3)</f>
        <v>1336.9146465777117</v>
      </c>
      <c r="F92" s="27" cm="1">
        <f t="array" ref="F92">_xlfn.IFS(F91="","",G91=0,"",G91&lt;1,"",G91&lt;F91,G91,AND(G91&gt;0,$D$8&gt;0),$D$8+($M$3-(G91*calcs!$H$3)),G91&gt;0,$M$3-(G91*calcs!$H$3))</f>
        <v>326.34159137024494</v>
      </c>
      <c r="G92" s="27" cm="1">
        <f t="array" ref="G92">_xlfn.IFS(F92="","",G91-F92&lt;1,0,ISBLANK(F92)=TRUE,"",G91-F92&gt;1,G91-F92)</f>
        <v>228859.02639338034</v>
      </c>
      <c r="H92" s="31">
        <f t="shared" si="2"/>
        <v>134723.75527378442</v>
      </c>
      <c r="I92" s="2" t="str" cm="1">
        <f t="array" ref="I92">_xlfn.IFS(OR(D92="",E92="",F92=""),"",MOD(D92,12)&lt;&gt;0,"",MOD(D92,12)=0,"Year End"&amp;" "&amp;D92/12)</f>
        <v/>
      </c>
      <c r="V92">
        <v>81</v>
      </c>
    </row>
    <row r="93" spans="4:22">
      <c r="D93" s="32">
        <f>IF(V93&lt;=calcs!$F$4,'Loan Calculator'!V93,"")</f>
        <v>82</v>
      </c>
      <c r="E93" s="29" cm="1">
        <f t="array" ref="E93">_xlfn.IFS(F93="","",G92&lt;F92,G92*calcs!$H$3,$D$8&lt;=0,$M$3-F93,$D$8&gt;0,$M$3-F93+$D$8,G92&lt;F92,G93*calcs!$H$3)</f>
        <v>1335.0109872947187</v>
      </c>
      <c r="F93" s="29" cm="1">
        <f t="array" ref="F93">_xlfn.IFS(F92="","",G92=0,"",G92&lt;1,"",G92&lt;F92,G92,AND(G92&gt;0,$D$8&gt;0),$D$8+($M$3-(G92*calcs!$H$3)),G92&gt;0,$M$3-(G92*calcs!$H$3))</f>
        <v>328.24525065323792</v>
      </c>
      <c r="G93" s="29" cm="1">
        <f t="array" ref="G93">_xlfn.IFS(F93="","",G92-F93&lt;1,0,ISBLANK(F93)=TRUE,"",G92-F93&gt;1,G92-F93)</f>
        <v>228530.78114272709</v>
      </c>
      <c r="H93" s="33">
        <f t="shared" si="2"/>
        <v>136387.01151173239</v>
      </c>
      <c r="I93" s="2" t="str" cm="1">
        <f t="array" ref="I93">_xlfn.IFS(OR(D93="",E93="",F93=""),"",MOD(D93,12)&lt;&gt;0,"",MOD(D93,12)=0,"Year End"&amp;" "&amp;D93/12)</f>
        <v/>
      </c>
      <c r="V93">
        <v>82</v>
      </c>
    </row>
    <row r="94" spans="4:22">
      <c r="D94" s="30">
        <f>IF(V94&lt;=calcs!$F$4,'Loan Calculator'!V94,"")</f>
        <v>83</v>
      </c>
      <c r="E94" s="27" cm="1">
        <f t="array" ref="E94">_xlfn.IFS(F94="","",G93&lt;F93,G93*calcs!$H$3,$D$8&lt;=0,$M$3-F94,$D$8&gt;0,$M$3-F94+$D$8,G93&lt;F93,G94*calcs!$H$3)</f>
        <v>1333.0962233325747</v>
      </c>
      <c r="F94" s="27" cm="1">
        <f t="array" ref="F94">_xlfn.IFS(F93="","",G93=0,"",G93&lt;1,"",G93&lt;F93,G93,AND(G93&gt;0,$D$8&gt;0),$D$8+($M$3-(G93*calcs!$H$3)),G93&gt;0,$M$3-(G93*calcs!$H$3))</f>
        <v>330.1600146153819</v>
      </c>
      <c r="G94" s="27" cm="1">
        <f t="array" ref="G94">_xlfn.IFS(F94="","",G93-F94&lt;1,0,ISBLANK(F94)=TRUE,"",G93-F94&gt;1,G93-F94)</f>
        <v>228200.6211281117</v>
      </c>
      <c r="H94" s="31">
        <f t="shared" si="2"/>
        <v>138050.26774968035</v>
      </c>
      <c r="I94" s="2" t="str" cm="1">
        <f t="array" ref="I94">_xlfn.IFS(OR(D94="",E94="",F94=""),"",MOD(D94,12)&lt;&gt;0,"",MOD(D94,12)=0,"Year End"&amp;" "&amp;D94/12)</f>
        <v/>
      </c>
      <c r="V94">
        <v>83</v>
      </c>
    </row>
    <row r="95" spans="4:22">
      <c r="D95" s="32">
        <f>IF(V95&lt;=calcs!$F$4,'Loan Calculator'!V95,"")</f>
        <v>84</v>
      </c>
      <c r="E95" s="29" cm="1">
        <f t="array" ref="E95">_xlfn.IFS(F95="","",G94&lt;F94,G94*calcs!$H$3,$D$8&lt;=0,$M$3-F95,$D$8&gt;0,$M$3-F95+$D$8,G94&lt;F94,G95*calcs!$H$3)</f>
        <v>1331.170289913985</v>
      </c>
      <c r="F95" s="29" cm="1">
        <f t="array" ref="F95">_xlfn.IFS(F94="","",G94=0,"",G94&lt;1,"",G94&lt;F94,G94,AND(G94&gt;0,$D$8&gt;0),$D$8+($M$3-(G94*calcs!$H$3)),G94&gt;0,$M$3-(G94*calcs!$H$3))</f>
        <v>332.08594803397159</v>
      </c>
      <c r="G95" s="29" cm="1">
        <f t="array" ref="G95">_xlfn.IFS(F95="","",G94-F95&lt;1,0,ISBLANK(F95)=TRUE,"",G94-F95&gt;1,G94-F95)</f>
        <v>227868.53518007771</v>
      </c>
      <c r="H95" s="33">
        <f t="shared" si="2"/>
        <v>139713.52398762832</v>
      </c>
      <c r="I95" s="2" t="str" cm="1">
        <f t="array" ref="I95">_xlfn.IFS(OR(D95="",E95="",F95=""),"",MOD(D95,12)&lt;&gt;0,"",MOD(D95,12)=0,"Year End"&amp;" "&amp;D95/12)</f>
        <v>Year End 7</v>
      </c>
      <c r="V95">
        <v>84</v>
      </c>
    </row>
    <row r="96" spans="4:22">
      <c r="D96" s="30">
        <f>IF(V96&lt;=calcs!$F$4,'Loan Calculator'!V96,"")</f>
        <v>85</v>
      </c>
      <c r="E96" s="27" cm="1">
        <f t="array" ref="E96">_xlfn.IFS(F96="","",G95&lt;F95,G95*calcs!$H$3,$D$8&lt;=0,$M$3-F96,$D$8&gt;0,$M$3-F96+$D$8,G95&lt;F95,G96*calcs!$H$3)</f>
        <v>1329.2331218837867</v>
      </c>
      <c r="F96" s="27" cm="1">
        <f t="array" ref="F96">_xlfn.IFS(F95="","",G95=0,"",G95&lt;1,"",G95&lt;F95,G95,AND(G95&gt;0,$D$8&gt;0),$D$8+($M$3-(G95*calcs!$H$3)),G95&gt;0,$M$3-(G95*calcs!$H$3))</f>
        <v>334.02311606416993</v>
      </c>
      <c r="G96" s="27" cm="1">
        <f t="array" ref="G96">_xlfn.IFS(F96="","",G95-F96&lt;1,0,ISBLANK(F96)=TRUE,"",G95-F96&gt;1,G95-F96)</f>
        <v>227534.51206401354</v>
      </c>
      <c r="H96" s="31">
        <f t="shared" si="2"/>
        <v>141376.78022557628</v>
      </c>
      <c r="I96" s="2" t="str" cm="1">
        <f t="array" ref="I96">_xlfn.IFS(OR(D96="",E96="",F96=""),"",MOD(D96,12)&lt;&gt;0,"",MOD(D96,12)=0,"Year End"&amp;" "&amp;D96/12)</f>
        <v/>
      </c>
      <c r="V96">
        <v>85</v>
      </c>
    </row>
    <row r="97" spans="4:22">
      <c r="D97" s="32">
        <f>IF(V97&lt;=calcs!$F$4,'Loan Calculator'!V97,"")</f>
        <v>86</v>
      </c>
      <c r="E97" s="29" cm="1">
        <f t="array" ref="E97">_xlfn.IFS(F97="","",G96&lt;F96,G96*calcs!$H$3,$D$8&lt;=0,$M$3-F97,$D$8&gt;0,$M$3-F97+$D$8,G96&lt;F96,G97*calcs!$H$3)</f>
        <v>1327.2846537067458</v>
      </c>
      <c r="F97" s="29" cm="1">
        <f t="array" ref="F97">_xlfn.IFS(F96="","",G96=0,"",G96&lt;1,"",G96&lt;F96,G96,AND(G96&gt;0,$D$8&gt;0),$D$8+($M$3-(G96*calcs!$H$3)),G96&gt;0,$M$3-(G96*calcs!$H$3))</f>
        <v>335.97158424121085</v>
      </c>
      <c r="G97" s="29" cm="1">
        <f t="array" ref="G97">_xlfn.IFS(F97="","",G96-F97&lt;1,0,ISBLANK(F97)=TRUE,"",G96-F97&gt;1,G96-F97)</f>
        <v>227198.54047977235</v>
      </c>
      <c r="H97" s="33">
        <f t="shared" si="2"/>
        <v>143040.03646352421</v>
      </c>
      <c r="I97" s="2" t="str" cm="1">
        <f t="array" ref="I97">_xlfn.IFS(OR(D97="",E97="",F97=""),"",MOD(D97,12)&lt;&gt;0,"",MOD(D97,12)=0,"Year End"&amp;" "&amp;D97/12)</f>
        <v/>
      </c>
      <c r="V97">
        <v>86</v>
      </c>
    </row>
    <row r="98" spans="4:22">
      <c r="D98" s="30">
        <f>IF(V98&lt;=calcs!$F$4,'Loan Calculator'!V98,"")</f>
        <v>87</v>
      </c>
      <c r="E98" s="27" cm="1">
        <f t="array" ref="E98">_xlfn.IFS(F98="","",G97&lt;F97,G97*calcs!$H$3,$D$8&lt;=0,$M$3-F98,$D$8&gt;0,$M$3-F98+$D$8,G97&lt;F97,G98*calcs!$H$3)</f>
        <v>1325.3248194653388</v>
      </c>
      <c r="F98" s="27" cm="1">
        <f t="array" ref="F98">_xlfn.IFS(F97="","",G97=0,"",G97&lt;1,"",G97&lt;F97,G97,AND(G97&gt;0,$D$8&gt;0),$D$8+($M$3-(G97*calcs!$H$3)),G97&gt;0,$M$3-(G97*calcs!$H$3))</f>
        <v>337.9314184826178</v>
      </c>
      <c r="G98" s="27" cm="1">
        <f t="array" ref="G98">_xlfn.IFS(F98="","",G97-F98&lt;1,0,ISBLANK(F98)=TRUE,"",G97-F98&gt;1,G97-F98)</f>
        <v>226860.60906128972</v>
      </c>
      <c r="H98" s="31">
        <f t="shared" si="2"/>
        <v>144703.29270147218</v>
      </c>
      <c r="I98" s="2" t="str" cm="1">
        <f t="array" ref="I98">_xlfn.IFS(OR(D98="",E98="",F98=""),"",MOD(D98,12)&lt;&gt;0,"",MOD(D98,12)=0,"Year End"&amp;" "&amp;D98/12)</f>
        <v/>
      </c>
      <c r="V98">
        <v>87</v>
      </c>
    </row>
    <row r="99" spans="4:22">
      <c r="D99" s="32">
        <f>IF(V99&lt;=calcs!$F$4,'Loan Calculator'!V99,"")</f>
        <v>88</v>
      </c>
      <c r="E99" s="29" cm="1">
        <f t="array" ref="E99">_xlfn.IFS(F99="","",G98&lt;F98,G98*calcs!$H$3,$D$8&lt;=0,$M$3-F99,$D$8&gt;0,$M$3-F99+$D$8,G98&lt;F98,G99*calcs!$H$3)</f>
        <v>1323.3535528575235</v>
      </c>
      <c r="F99" s="29" cm="1">
        <f t="array" ref="F99">_xlfn.IFS(F98="","",G98=0,"",G98&lt;1,"",G98&lt;F98,G98,AND(G98&gt;0,$D$8&gt;0),$D$8+($M$3-(G98*calcs!$H$3)),G98&gt;0,$M$3-(G98*calcs!$H$3))</f>
        <v>339.90268509043312</v>
      </c>
      <c r="G99" s="29" cm="1">
        <f t="array" ref="G99">_xlfn.IFS(F99="","",G98-F99&lt;1,0,ISBLANK(F99)=TRUE,"",G98-F99&gt;1,G98-F99)</f>
        <v>226520.70637619929</v>
      </c>
      <c r="H99" s="33">
        <f t="shared" si="2"/>
        <v>146366.54893942014</v>
      </c>
      <c r="I99" s="2" t="str" cm="1">
        <f t="array" ref="I99">_xlfn.IFS(OR(D99="",E99="",F99=""),"",MOD(D99,12)&lt;&gt;0,"",MOD(D99,12)=0,"Year End"&amp;" "&amp;D99/12)</f>
        <v/>
      </c>
      <c r="V99">
        <v>88</v>
      </c>
    </row>
    <row r="100" spans="4:22">
      <c r="D100" s="30">
        <f>IF(V100&lt;=calcs!$F$4,'Loan Calculator'!V100,"")</f>
        <v>89</v>
      </c>
      <c r="E100" s="27" cm="1">
        <f t="array" ref="E100">_xlfn.IFS(F100="","",G99&lt;F99,G99*calcs!$H$3,$D$8&lt;=0,$M$3-F100,$D$8&gt;0,$M$3-F100+$D$8,G99&lt;F99,G100*calcs!$H$3)</f>
        <v>1321.370787194496</v>
      </c>
      <c r="F100" s="27" cm="1">
        <f t="array" ref="F100">_xlfn.IFS(F99="","",G99=0,"",G99&lt;1,"",G99&lt;F99,G99,AND(G99&gt;0,$D$8&gt;0),$D$8+($M$3-(G99*calcs!$H$3)),G99&gt;0,$M$3-(G99*calcs!$H$3))</f>
        <v>341.88545075346065</v>
      </c>
      <c r="G100" s="27" cm="1">
        <f t="array" ref="G100">_xlfn.IFS(F100="","",G99-F100&lt;1,0,ISBLANK(F100)=TRUE,"",G99-F100&gt;1,G99-F100)</f>
        <v>226178.82092544582</v>
      </c>
      <c r="H100" s="31">
        <f t="shared" si="2"/>
        <v>148029.80517736811</v>
      </c>
      <c r="I100" s="2" t="str" cm="1">
        <f t="array" ref="I100">_xlfn.IFS(OR(D100="",E100="",F100=""),"",MOD(D100,12)&lt;&gt;0,"",MOD(D100,12)=0,"Year End"&amp;" "&amp;D100/12)</f>
        <v/>
      </c>
      <c r="V100">
        <v>89</v>
      </c>
    </row>
    <row r="101" spans="4:22">
      <c r="D101" s="32">
        <f>IF(V101&lt;=calcs!$F$4,'Loan Calculator'!V101,"")</f>
        <v>90</v>
      </c>
      <c r="E101" s="29" cm="1">
        <f t="array" ref="E101">_xlfn.IFS(F101="","",G100&lt;F100,G100*calcs!$H$3,$D$8&lt;=0,$M$3-F101,$D$8&gt;0,$M$3-F101+$D$8,G100&lt;F100,G101*calcs!$H$3)</f>
        <v>1319.376455398434</v>
      </c>
      <c r="F101" s="29" cm="1">
        <f t="array" ref="F101">_xlfn.IFS(F100="","",G100=0,"",G100&lt;1,"",G100&lt;F100,G100,AND(G100&gt;0,$D$8&gt;0),$D$8+($M$3-(G100*calcs!$H$3)),G100&gt;0,$M$3-(G100*calcs!$H$3))</f>
        <v>343.87978254952259</v>
      </c>
      <c r="G101" s="29" cm="1">
        <f t="array" ref="G101">_xlfn.IFS(F101="","",G100-F101&lt;1,0,ISBLANK(F101)=TRUE,"",G100-F101&gt;1,G100-F101)</f>
        <v>225834.94114289631</v>
      </c>
      <c r="H101" s="33">
        <f t="shared" si="2"/>
        <v>149693.06141531604</v>
      </c>
      <c r="I101" s="2" t="str" cm="1">
        <f t="array" ref="I101">_xlfn.IFS(OR(D101="",E101="",F101=""),"",MOD(D101,12)&lt;&gt;0,"",MOD(D101,12)=0,"Year End"&amp;" "&amp;D101/12)</f>
        <v/>
      </c>
      <c r="V101">
        <v>90</v>
      </c>
    </row>
    <row r="102" spans="4:22">
      <c r="D102" s="30">
        <f>IF(V102&lt;=calcs!$F$4,'Loan Calculator'!V102,"")</f>
        <v>91</v>
      </c>
      <c r="E102" s="27" cm="1">
        <f t="array" ref="E102">_xlfn.IFS(F102="","",G101&lt;F101,G101*calcs!$H$3,$D$8&lt;=0,$M$3-F102,$D$8&gt;0,$M$3-F102+$D$8,G101&lt;F101,G102*calcs!$H$3)</f>
        <v>1317.3704900002285</v>
      </c>
      <c r="F102" s="27" cm="1">
        <f t="array" ref="F102">_xlfn.IFS(F101="","",G101=0,"",G101&lt;1,"",G101&lt;F101,G101,AND(G101&gt;0,$D$8&gt;0),$D$8+($M$3-(G101*calcs!$H$3)),G101&gt;0,$M$3-(G101*calcs!$H$3))</f>
        <v>345.88574794772808</v>
      </c>
      <c r="G102" s="27" cm="1">
        <f t="array" ref="G102">_xlfn.IFS(F102="","",G101-F102&lt;1,0,ISBLANK(F102)=TRUE,"",G101-F102&gt;1,G101-F102)</f>
        <v>225489.05539494858</v>
      </c>
      <c r="H102" s="31">
        <f t="shared" si="2"/>
        <v>151356.31765326401</v>
      </c>
      <c r="I102" s="2" t="str" cm="1">
        <f t="array" ref="I102">_xlfn.IFS(OR(D102="",E102="",F102=""),"",MOD(D102,12)&lt;&gt;0,"",MOD(D102,12)=0,"Year End"&amp;" "&amp;D102/12)</f>
        <v/>
      </c>
      <c r="V102">
        <v>91</v>
      </c>
    </row>
    <row r="103" spans="4:22">
      <c r="D103" s="32">
        <f>IF(V103&lt;=calcs!$F$4,'Loan Calculator'!V103,"")</f>
        <v>92</v>
      </c>
      <c r="E103" s="29" cm="1">
        <f t="array" ref="E103">_xlfn.IFS(F103="","",G102&lt;F102,G102*calcs!$H$3,$D$8&lt;=0,$M$3-F103,$D$8&gt;0,$M$3-F103+$D$8,G102&lt;F102,G103*calcs!$H$3)</f>
        <v>1315.3528231372002</v>
      </c>
      <c r="F103" s="29" cm="1">
        <f t="array" ref="F103">_xlfn.IFS(F102="","",G102=0,"",G102&lt;1,"",G102&lt;F102,G102,AND(G102&gt;0,$D$8&gt;0),$D$8+($M$3-(G102*calcs!$H$3)),G102&gt;0,$M$3-(G102*calcs!$H$3))</f>
        <v>347.90341481075643</v>
      </c>
      <c r="G103" s="29" cm="1">
        <f t="array" ref="G103">_xlfn.IFS(F103="","",G102-F103&lt;1,0,ISBLANK(F103)=TRUE,"",G102-F103&gt;1,G102-F103)</f>
        <v>225141.15198013783</v>
      </c>
      <c r="H103" s="33">
        <f t="shared" si="2"/>
        <v>153019.57389121194</v>
      </c>
      <c r="I103" s="2" t="str" cm="1">
        <f t="array" ref="I103">_xlfn.IFS(OR(D103="",E103="",F103=""),"",MOD(D103,12)&lt;&gt;0,"",MOD(D103,12)=0,"Year End"&amp;" "&amp;D103/12)</f>
        <v/>
      </c>
      <c r="V103">
        <v>92</v>
      </c>
    </row>
    <row r="104" spans="4:22">
      <c r="D104" s="30">
        <f>IF(V104&lt;=calcs!$F$4,'Loan Calculator'!V104,"")</f>
        <v>93</v>
      </c>
      <c r="E104" s="27" cm="1">
        <f t="array" ref="E104">_xlfn.IFS(F104="","",G103&lt;F103,G103*calcs!$H$3,$D$8&lt;=0,$M$3-F104,$D$8&gt;0,$M$3-F104+$D$8,G103&lt;F103,G104*calcs!$H$3)</f>
        <v>1313.3233865508041</v>
      </c>
      <c r="F104" s="27" cm="1">
        <f t="array" ref="F104">_xlfn.IFS(F103="","",G103=0,"",G103&lt;1,"",G103&lt;F103,G103,AND(G103&gt;0,$D$8&gt;0),$D$8+($M$3-(G103*calcs!$H$3)),G103&gt;0,$M$3-(G103*calcs!$H$3))</f>
        <v>349.93285139715249</v>
      </c>
      <c r="G104" s="27" cm="1">
        <f t="array" ref="G104">_xlfn.IFS(F104="","",G103-F104&lt;1,0,ISBLANK(F104)=TRUE,"",G103-F104&gt;1,G103-F104)</f>
        <v>224791.21912874069</v>
      </c>
      <c r="H104" s="31">
        <f t="shared" si="2"/>
        <v>154682.83012915988</v>
      </c>
      <c r="I104" s="2" t="str" cm="1">
        <f t="array" ref="I104">_xlfn.IFS(OR(D104="",E104="",F104=""),"",MOD(D104,12)&lt;&gt;0,"",MOD(D104,12)=0,"Year End"&amp;" "&amp;D104/12)</f>
        <v/>
      </c>
      <c r="V104">
        <v>93</v>
      </c>
    </row>
    <row r="105" spans="4:22">
      <c r="D105" s="32">
        <f>IF(V105&lt;=calcs!$F$4,'Loan Calculator'!V105,"")</f>
        <v>94</v>
      </c>
      <c r="E105" s="29" cm="1">
        <f t="array" ref="E105">_xlfn.IFS(F105="","",G104&lt;F104,G104*calcs!$H$3,$D$8&lt;=0,$M$3-F105,$D$8&gt;0,$M$3-F105+$D$8,G104&lt;F104,G105*calcs!$H$3)</f>
        <v>1311.2821115843208</v>
      </c>
      <c r="F105" s="29" cm="1">
        <f t="array" ref="F105">_xlfn.IFS(F104="","",G104=0,"",G104&lt;1,"",G104&lt;F104,G104,AND(G104&gt;0,$D$8&gt;0),$D$8+($M$3-(G104*calcs!$H$3)),G104&gt;0,$M$3-(G104*calcs!$H$3))</f>
        <v>351.97412636363583</v>
      </c>
      <c r="G105" s="29" cm="1">
        <f t="array" ref="G105">_xlfn.IFS(F105="","",G104-F105&lt;1,0,ISBLANK(F105)=TRUE,"",G104-F105&gt;1,G104-F105)</f>
        <v>224439.24500237705</v>
      </c>
      <c r="H105" s="33">
        <f t="shared" si="2"/>
        <v>156346.08636710784</v>
      </c>
      <c r="I105" s="2" t="str" cm="1">
        <f t="array" ref="I105">_xlfn.IFS(OR(D105="",E105="",F105=""),"",MOD(D105,12)&lt;&gt;0,"",MOD(D105,12)=0,"Year End"&amp;" "&amp;D105/12)</f>
        <v/>
      </c>
      <c r="V105">
        <v>94</v>
      </c>
    </row>
    <row r="106" spans="4:22">
      <c r="D106" s="30">
        <f>IF(V106&lt;=calcs!$F$4,'Loan Calculator'!V106,"")</f>
        <v>95</v>
      </c>
      <c r="E106" s="27" cm="1">
        <f t="array" ref="E106">_xlfn.IFS(F106="","",G105&lt;F105,G105*calcs!$H$3,$D$8&lt;=0,$M$3-F106,$D$8&gt;0,$M$3-F106+$D$8,G105&lt;F105,G106*calcs!$H$3)</f>
        <v>1309.2289291805328</v>
      </c>
      <c r="F106" s="27" cm="1">
        <f t="array" ref="F106">_xlfn.IFS(F105="","",G105=0,"",G105&lt;1,"",G105&lt;F105,G105,AND(G105&gt;0,$D$8&gt;0),$D$8+($M$3-(G105*calcs!$H$3)),G105&gt;0,$M$3-(G105*calcs!$H$3))</f>
        <v>354.02730876742385</v>
      </c>
      <c r="G106" s="27" cm="1">
        <f t="array" ref="G106">_xlfn.IFS(F106="","",G105-F106&lt;1,0,ISBLANK(F106)=TRUE,"",G105-F106&gt;1,G105-F106)</f>
        <v>224085.21769360962</v>
      </c>
      <c r="H106" s="31">
        <f t="shared" si="2"/>
        <v>158009.3426050558</v>
      </c>
      <c r="I106" s="2" t="str" cm="1">
        <f t="array" ref="I106">_xlfn.IFS(OR(D106="",E106="",F106=""),"",MOD(D106,12)&lt;&gt;0,"",MOD(D106,12)=0,"Year End"&amp;" "&amp;D106/12)</f>
        <v/>
      </c>
      <c r="V106">
        <v>95</v>
      </c>
    </row>
    <row r="107" spans="4:22">
      <c r="D107" s="32">
        <f>IF(V107&lt;=calcs!$F$4,'Loan Calculator'!V107,"")</f>
        <v>96</v>
      </c>
      <c r="E107" s="29" cm="1">
        <f t="array" ref="E107">_xlfn.IFS(F107="","",G106&lt;F106,G106*calcs!$H$3,$D$8&lt;=0,$M$3-F107,$D$8&gt;0,$M$3-F107+$D$8,G106&lt;F106,G107*calcs!$H$3)</f>
        <v>1307.1637698793895</v>
      </c>
      <c r="F107" s="29" cm="1">
        <f t="array" ref="F107">_xlfn.IFS(F106="","",G106=0,"",G106&lt;1,"",G106&lt;F106,G106,AND(G106&gt;0,$D$8&gt;0),$D$8+($M$3-(G106*calcs!$H$3)),G106&gt;0,$M$3-(G106*calcs!$H$3))</f>
        <v>356.09246806856709</v>
      </c>
      <c r="G107" s="29" cm="1">
        <f t="array" ref="G107">_xlfn.IFS(F107="","",G106-F107&lt;1,0,ISBLANK(F107)=TRUE,"",G106-F107&gt;1,G106-F107)</f>
        <v>223729.12522554107</v>
      </c>
      <c r="H107" s="33">
        <f t="shared" si="2"/>
        <v>159672.59884300374</v>
      </c>
      <c r="I107" s="2" t="str" cm="1">
        <f t="array" ref="I107">_xlfn.IFS(OR(D107="",E107="",F107=""),"",MOD(D107,12)&lt;&gt;0,"",MOD(D107,12)=0,"Year End"&amp;" "&amp;D107/12)</f>
        <v>Year End 8</v>
      </c>
      <c r="V107">
        <v>96</v>
      </c>
    </row>
    <row r="108" spans="4:22">
      <c r="D108" s="30">
        <f>IF(V108&lt;=calcs!$F$4,'Loan Calculator'!V108,"")</f>
        <v>97</v>
      </c>
      <c r="E108" s="27" cm="1">
        <f t="array" ref="E108">_xlfn.IFS(F108="","",G107&lt;F107,G107*calcs!$H$3,$D$8&lt;=0,$M$3-F108,$D$8&gt;0,$M$3-F108+$D$8,G107&lt;F107,G108*calcs!$H$3)</f>
        <v>1305.0865638156563</v>
      </c>
      <c r="F108" s="27" cm="1">
        <f t="array" ref="F108">_xlfn.IFS(F107="","",G107=0,"",G107&lt;1,"",G107&lt;F107,G107,AND(G107&gt;0,$D$8&gt;0),$D$8+($M$3-(G107*calcs!$H$3)),G107&gt;0,$M$3-(G107*calcs!$H$3))</f>
        <v>358.16967413230032</v>
      </c>
      <c r="G108" s="27" cm="1">
        <f t="array" ref="G108">_xlfn.IFS(F108="","",G107-F108&lt;1,0,ISBLANK(F108)=TRUE,"",G107-F108&gt;1,G107-F108)</f>
        <v>223370.95555140876</v>
      </c>
      <c r="H108" s="31">
        <f t="shared" si="2"/>
        <v>161335.8550809517</v>
      </c>
      <c r="I108" s="2" t="str" cm="1">
        <f t="array" ref="I108">_xlfn.IFS(OR(D108="",E108="",F108=""),"",MOD(D108,12)&lt;&gt;0,"",MOD(D108,12)=0,"Year End"&amp;" "&amp;D108/12)</f>
        <v/>
      </c>
      <c r="V108">
        <v>97</v>
      </c>
    </row>
    <row r="109" spans="4:22">
      <c r="D109" s="32">
        <f>IF(V109&lt;=calcs!$F$4,'Loan Calculator'!V109,"")</f>
        <v>98</v>
      </c>
      <c r="E109" s="29" cm="1">
        <f t="array" ref="E109">_xlfn.IFS(F109="","",G108&lt;F108,G108*calcs!$H$3,$D$8&lt;=0,$M$3-F109,$D$8&gt;0,$M$3-F109+$D$8,G108&lt;F108,G109*calcs!$H$3)</f>
        <v>1302.9972407165512</v>
      </c>
      <c r="F109" s="29" cm="1">
        <f t="array" ref="F109">_xlfn.IFS(F108="","",G108=0,"",G108&lt;1,"",G108&lt;F108,G108,AND(G108&gt;0,$D$8&gt;0),$D$8+($M$3-(G108*calcs!$H$3)),G108&gt;0,$M$3-(G108*calcs!$H$3))</f>
        <v>360.25899723140537</v>
      </c>
      <c r="G109" s="29" cm="1">
        <f t="array" ref="G109">_xlfn.IFS(F109="","",G108-F109&lt;1,0,ISBLANK(F109)=TRUE,"",G108-F109&gt;1,G108-F109)</f>
        <v>223010.69655417735</v>
      </c>
      <c r="H109" s="33">
        <f t="shared" si="2"/>
        <v>162999.11131889967</v>
      </c>
      <c r="I109" s="2" t="str" cm="1">
        <f t="array" ref="I109">_xlfn.IFS(OR(D109="",E109="",F109=""),"",MOD(D109,12)&lt;&gt;0,"",MOD(D109,12)=0,"Year End"&amp;" "&amp;D109/12)</f>
        <v/>
      </c>
      <c r="V109">
        <v>98</v>
      </c>
    </row>
    <row r="110" spans="4:22">
      <c r="D110" s="30">
        <f>IF(V110&lt;=calcs!$F$4,'Loan Calculator'!V110,"")</f>
        <v>99</v>
      </c>
      <c r="E110" s="27" cm="1">
        <f t="array" ref="E110">_xlfn.IFS(F110="","",G109&lt;F109,G109*calcs!$H$3,$D$8&lt;=0,$M$3-F110,$D$8&gt;0,$M$3-F110+$D$8,G109&lt;F109,G110*calcs!$H$3)</f>
        <v>1300.895729899368</v>
      </c>
      <c r="F110" s="27" cm="1">
        <f t="array" ref="F110">_xlfn.IFS(F109="","",G109=0,"",G109&lt;1,"",G109&lt;F109,G109,AND(G109&gt;0,$D$8&gt;0),$D$8+($M$3-(G109*calcs!$H$3)),G109&gt;0,$M$3-(G109*calcs!$H$3))</f>
        <v>362.3605080485886</v>
      </c>
      <c r="G110" s="27" cm="1">
        <f t="array" ref="G110">_xlfn.IFS(F110="","",G109-F110&lt;1,0,ISBLANK(F110)=TRUE,"",G109-F110&gt;1,G109-F110)</f>
        <v>222648.33604612877</v>
      </c>
      <c r="H110" s="31">
        <f t="shared" si="2"/>
        <v>164662.36755684763</v>
      </c>
      <c r="I110" s="2" t="str" cm="1">
        <f t="array" ref="I110">_xlfn.IFS(OR(D110="",E110="",F110=""),"",MOD(D110,12)&lt;&gt;0,"",MOD(D110,12)=0,"Year End"&amp;" "&amp;D110/12)</f>
        <v/>
      </c>
      <c r="V110">
        <v>99</v>
      </c>
    </row>
    <row r="111" spans="4:22">
      <c r="D111" s="32">
        <f>IF(V111&lt;=calcs!$F$4,'Loan Calculator'!V111,"")</f>
        <v>100</v>
      </c>
      <c r="E111" s="29" cm="1">
        <f t="array" ref="E111">_xlfn.IFS(F111="","",G110&lt;F110,G110*calcs!$H$3,$D$8&lt;=0,$M$3-F111,$D$8&gt;0,$M$3-F111+$D$8,G110&lt;F110,G111*calcs!$H$3)</f>
        <v>1298.7819602690845</v>
      </c>
      <c r="F111" s="29" cm="1">
        <f t="array" ref="F111">_xlfn.IFS(F110="","",G110=0,"",G110&lt;1,"",G110&lt;F110,G110,AND(G110&gt;0,$D$8&gt;0),$D$8+($M$3-(G110*calcs!$H$3)),G110&gt;0,$M$3-(G110*calcs!$H$3))</f>
        <v>364.47427767887211</v>
      </c>
      <c r="G111" s="29" cm="1">
        <f t="array" ref="G111">_xlfn.IFS(F111="","",G110-F111&lt;1,0,ISBLANK(F111)=TRUE,"",G110-F111&gt;1,G110-F111)</f>
        <v>222283.86176844989</v>
      </c>
      <c r="H111" s="33">
        <f t="shared" si="2"/>
        <v>166325.6237947956</v>
      </c>
      <c r="I111" s="2" t="str" cm="1">
        <f t="array" ref="I111">_xlfn.IFS(OR(D111="",E111="",F111=""),"",MOD(D111,12)&lt;&gt;0,"",MOD(D111,12)=0,"Year End"&amp;" "&amp;D111/12)</f>
        <v/>
      </c>
      <c r="V111">
        <v>100</v>
      </c>
    </row>
    <row r="112" spans="4:22">
      <c r="D112" s="30">
        <f>IF(V112&lt;=calcs!$F$4,'Loan Calculator'!V112,"")</f>
        <v>101</v>
      </c>
      <c r="E112" s="27" cm="1">
        <f t="array" ref="E112">_xlfn.IFS(F112="","",G111&lt;F111,G111*calcs!$H$3,$D$8&lt;=0,$M$3-F112,$D$8&gt;0,$M$3-F112+$D$8,G111&lt;F111,G112*calcs!$H$3)</f>
        <v>1296.6558603159579</v>
      </c>
      <c r="F112" s="27" cm="1">
        <f t="array" ref="F112">_xlfn.IFS(F111="","",G111=0,"",G111&lt;1,"",G111&lt;F111,G111,AND(G111&gt;0,$D$8&gt;0),$D$8+($M$3-(G111*calcs!$H$3)),G111&gt;0,$M$3-(G111*calcs!$H$3))</f>
        <v>366.60037763199875</v>
      </c>
      <c r="G112" s="27" cm="1">
        <f t="array" ref="G112">_xlfn.IFS(F112="","",G111-F112&lt;1,0,ISBLANK(F112)=TRUE,"",G111-F112&gt;1,G111-F112)</f>
        <v>221917.2613908179</v>
      </c>
      <c r="H112" s="31">
        <f t="shared" si="2"/>
        <v>167988.88003274353</v>
      </c>
      <c r="I112" s="2" t="str" cm="1">
        <f t="array" ref="I112">_xlfn.IFS(OR(D112="",E112="",F112=""),"",MOD(D112,12)&lt;&gt;0,"",MOD(D112,12)=0,"Year End"&amp;" "&amp;D112/12)</f>
        <v/>
      </c>
      <c r="V112">
        <v>101</v>
      </c>
    </row>
    <row r="113" spans="4:22">
      <c r="D113" s="32">
        <f>IF(V113&lt;=calcs!$F$4,'Loan Calculator'!V113,"")</f>
        <v>102</v>
      </c>
      <c r="E113" s="29" cm="1">
        <f t="array" ref="E113">_xlfn.IFS(F113="","",G112&lt;F112,G112*calcs!$H$3,$D$8&lt;=0,$M$3-F113,$D$8&gt;0,$M$3-F113+$D$8,G112&lt;F112,G113*calcs!$H$3)</f>
        <v>1294.5173581131046</v>
      </c>
      <c r="F113" s="29" cm="1">
        <f t="array" ref="F113">_xlfn.IFS(F112="","",G112=0,"",G112&lt;1,"",G112&lt;F112,G112,AND(G112&gt;0,$D$8&gt;0),$D$8+($M$3-(G112*calcs!$H$3)),G112&gt;0,$M$3-(G112*calcs!$H$3))</f>
        <v>368.73887983485201</v>
      </c>
      <c r="G113" s="29" cm="1">
        <f t="array" ref="G113">_xlfn.IFS(F113="","",G112-F113&lt;1,0,ISBLANK(F113)=TRUE,"",G112-F113&gt;1,G112-F113)</f>
        <v>221548.52251098305</v>
      </c>
      <c r="H113" s="33">
        <f t="shared" si="2"/>
        <v>169652.1362706915</v>
      </c>
      <c r="I113" s="2" t="str" cm="1">
        <f t="array" ref="I113">_xlfn.IFS(OR(D113="",E113="",F113=""),"",MOD(D113,12)&lt;&gt;0,"",MOD(D113,12)=0,"Year End"&amp;" "&amp;D113/12)</f>
        <v/>
      </c>
      <c r="V113">
        <v>102</v>
      </c>
    </row>
    <row r="114" spans="4:22">
      <c r="D114" s="30">
        <f>IF(V114&lt;=calcs!$F$4,'Loan Calculator'!V114,"")</f>
        <v>103</v>
      </c>
      <c r="E114" s="27" cm="1">
        <f t="array" ref="E114">_xlfn.IFS(F114="","",G113&lt;F113,G113*calcs!$H$3,$D$8&lt;=0,$M$3-F114,$D$8&gt;0,$M$3-F114+$D$8,G113&lt;F113,G114*calcs!$H$3)</f>
        <v>1292.3663813140679</v>
      </c>
      <c r="F114" s="27" cm="1">
        <f t="array" ref="F114">_xlfn.IFS(F113="","",G113=0,"",G113&lt;1,"",G113&lt;F113,G113,AND(G113&gt;0,$D$8&gt;0),$D$8+($M$3-(G113*calcs!$H$3)),G113&gt;0,$M$3-(G113*calcs!$H$3))</f>
        <v>370.88985663388871</v>
      </c>
      <c r="G114" s="27" cm="1">
        <f t="array" ref="G114">_xlfn.IFS(F114="","",G113-F114&lt;1,0,ISBLANK(F114)=TRUE,"",G113-F114&gt;1,G113-F114)</f>
        <v>221177.63265434917</v>
      </c>
      <c r="H114" s="31">
        <f t="shared" si="2"/>
        <v>171315.39250863943</v>
      </c>
      <c r="I114" s="2" t="str" cm="1">
        <f t="array" ref="I114">_xlfn.IFS(OR(D114="",E114="",F114=""),"",MOD(D114,12)&lt;&gt;0,"",MOD(D114,12)=0,"Year End"&amp;" "&amp;D114/12)</f>
        <v/>
      </c>
      <c r="V114">
        <v>103</v>
      </c>
    </row>
    <row r="115" spans="4:22">
      <c r="D115" s="32">
        <f>IF(V115&lt;=calcs!$F$4,'Loan Calculator'!V115,"")</f>
        <v>104</v>
      </c>
      <c r="E115" s="29" cm="1">
        <f t="array" ref="E115">_xlfn.IFS(F115="","",G114&lt;F114,G114*calcs!$H$3,$D$8&lt;=0,$M$3-F115,$D$8&gt;0,$M$3-F115+$D$8,G114&lt;F114,G115*calcs!$H$3)</f>
        <v>1290.2028571503702</v>
      </c>
      <c r="F115" s="29" cm="1">
        <f t="array" ref="F115">_xlfn.IFS(F114="","",G114=0,"",G114&lt;1,"",G114&lt;F114,G114,AND(G114&gt;0,$D$8&gt;0),$D$8+($M$3-(G114*calcs!$H$3)),G114&gt;0,$M$3-(G114*calcs!$H$3))</f>
        <v>373.05338079758644</v>
      </c>
      <c r="G115" s="29" cm="1">
        <f t="array" ref="G115">_xlfn.IFS(F115="","",G114-F115&lt;1,0,ISBLANK(F115)=TRUE,"",G114-F115&gt;1,G114-F115)</f>
        <v>220804.57927355159</v>
      </c>
      <c r="H115" s="33">
        <f t="shared" si="2"/>
        <v>172978.64874658739</v>
      </c>
      <c r="I115" s="2" t="str" cm="1">
        <f t="array" ref="I115">_xlfn.IFS(OR(D115="",E115="",F115=""),"",MOD(D115,12)&lt;&gt;0,"",MOD(D115,12)=0,"Year End"&amp;" "&amp;D115/12)</f>
        <v/>
      </c>
      <c r="V115">
        <v>104</v>
      </c>
    </row>
    <row r="116" spans="4:22">
      <c r="D116" s="30">
        <f>IF(V116&lt;=calcs!$F$4,'Loan Calculator'!V116,"")</f>
        <v>105</v>
      </c>
      <c r="E116" s="27" cm="1">
        <f t="array" ref="E116">_xlfn.IFS(F116="","",G115&lt;F115,G115*calcs!$H$3,$D$8&lt;=0,$M$3-F116,$D$8&gt;0,$M$3-F116+$D$8,G115&lt;F115,G116*calcs!$H$3)</f>
        <v>1288.026712429051</v>
      </c>
      <c r="F116" s="27" cm="1">
        <f t="array" ref="F116">_xlfn.IFS(F115="","",G115=0,"",G115&lt;1,"",G115&lt;F115,G115,AND(G115&gt;0,$D$8&gt;0),$D$8+($M$3-(G115*calcs!$H$3)),G115&gt;0,$M$3-(G115*calcs!$H$3))</f>
        <v>375.22952551890558</v>
      </c>
      <c r="G116" s="27" cm="1">
        <f t="array" ref="G116">_xlfn.IFS(F116="","",G115-F116&lt;1,0,ISBLANK(F116)=TRUE,"",G115-F116&gt;1,G115-F116)</f>
        <v>220429.34974803269</v>
      </c>
      <c r="H116" s="31">
        <f t="shared" si="2"/>
        <v>174641.90498453533</v>
      </c>
      <c r="I116" s="2" t="str" cm="1">
        <f t="array" ref="I116">_xlfn.IFS(OR(D116="",E116="",F116=""),"",MOD(D116,12)&lt;&gt;0,"",MOD(D116,12)=0,"Year End"&amp;" "&amp;D116/12)</f>
        <v/>
      </c>
      <c r="V116">
        <v>105</v>
      </c>
    </row>
    <row r="117" spans="4:22">
      <c r="D117" s="32">
        <f>IF(V117&lt;=calcs!$F$4,'Loan Calculator'!V117,"")</f>
        <v>106</v>
      </c>
      <c r="E117" s="29" cm="1">
        <f t="array" ref="E117">_xlfn.IFS(F117="","",G116&lt;F116,G116*calcs!$H$3,$D$8&lt;=0,$M$3-F117,$D$8&gt;0,$M$3-F117+$D$8,G116&lt;F116,G117*calcs!$H$3)</f>
        <v>1285.8378735301908</v>
      </c>
      <c r="F117" s="29" cm="1">
        <f t="array" ref="F117">_xlfn.IFS(F116="","",G116=0,"",G116&lt;1,"",G116&lt;F116,G116,AND(G116&gt;0,$D$8&gt;0),$D$8+($M$3-(G116*calcs!$H$3)),G116&gt;0,$M$3-(G116*calcs!$H$3))</f>
        <v>377.41836441776582</v>
      </c>
      <c r="G117" s="29" cm="1">
        <f t="array" ref="G117">_xlfn.IFS(F117="","",G116-F117&lt;1,0,ISBLANK(F117)=TRUE,"",G116-F117&gt;1,G116-F117)</f>
        <v>220051.93138361492</v>
      </c>
      <c r="H117" s="33">
        <f t="shared" si="2"/>
        <v>176305.16122248329</v>
      </c>
      <c r="I117" s="2" t="str" cm="1">
        <f t="array" ref="I117">_xlfn.IFS(OR(D117="",E117="",F117=""),"",MOD(D117,12)&lt;&gt;0,"",MOD(D117,12)=0,"Year End"&amp;" "&amp;D117/12)</f>
        <v/>
      </c>
      <c r="V117">
        <v>106</v>
      </c>
    </row>
    <row r="118" spans="4:22">
      <c r="D118" s="30">
        <f>IF(V118&lt;=calcs!$F$4,'Loan Calculator'!V118,"")</f>
        <v>107</v>
      </c>
      <c r="E118" s="27" cm="1">
        <f t="array" ref="E118">_xlfn.IFS(F118="","",G117&lt;F117,G117*calcs!$H$3,$D$8&lt;=0,$M$3-F118,$D$8&gt;0,$M$3-F118+$D$8,G117&lt;F117,G118*calcs!$H$3)</f>
        <v>1283.6362664044204</v>
      </c>
      <c r="F118" s="27" cm="1">
        <f t="array" ref="F118">_xlfn.IFS(F117="","",G117=0,"",G117&lt;1,"",G117&lt;F117,G117,AND(G117&gt;0,$D$8&gt;0),$D$8+($M$3-(G117*calcs!$H$3)),G117&gt;0,$M$3-(G117*calcs!$H$3))</f>
        <v>379.61997154353617</v>
      </c>
      <c r="G118" s="27" cm="1">
        <f t="array" ref="G118">_xlfn.IFS(F118="","",G117-F118&lt;1,0,ISBLANK(F118)=TRUE,"",G117-F118&gt;1,G117-F118)</f>
        <v>219672.31141207137</v>
      </c>
      <c r="H118" s="31">
        <f t="shared" si="2"/>
        <v>177968.41746043126</v>
      </c>
      <c r="I118" s="2" t="str" cm="1">
        <f t="array" ref="I118">_xlfn.IFS(OR(D118="",E118="",F118=""),"",MOD(D118,12)&lt;&gt;0,"",MOD(D118,12)=0,"Year End"&amp;" "&amp;D118/12)</f>
        <v/>
      </c>
      <c r="V118">
        <v>107</v>
      </c>
    </row>
    <row r="119" spans="4:22">
      <c r="D119" s="32">
        <f>IF(V119&lt;=calcs!$F$4,'Loan Calculator'!V119,"")</f>
        <v>108</v>
      </c>
      <c r="E119" s="29" cm="1">
        <f t="array" ref="E119">_xlfn.IFS(F119="","",G118&lt;F118,G118*calcs!$H$3,$D$8&lt;=0,$M$3-F119,$D$8&gt;0,$M$3-F119+$D$8,G118&lt;F118,G119*calcs!$H$3)</f>
        <v>1281.4218165704165</v>
      </c>
      <c r="F119" s="29" cm="1">
        <f t="array" ref="F119">_xlfn.IFS(F118="","",G118=0,"",G118&lt;1,"",G118&lt;F118,G118,AND(G118&gt;0,$D$8&gt;0),$D$8+($M$3-(G118*calcs!$H$3)),G118&gt;0,$M$3-(G118*calcs!$H$3))</f>
        <v>381.83442137754014</v>
      </c>
      <c r="G119" s="29" cm="1">
        <f t="array" ref="G119">_xlfn.IFS(F119="","",G118-F119&lt;1,0,ISBLANK(F119)=TRUE,"",G118-F119&gt;1,G118-F119)</f>
        <v>219290.47699069383</v>
      </c>
      <c r="H119" s="33">
        <f t="shared" si="2"/>
        <v>179631.67369837922</v>
      </c>
      <c r="I119" s="2" t="str" cm="1">
        <f t="array" ref="I119">_xlfn.IFS(OR(D119="",E119="",F119=""),"",MOD(D119,12)&lt;&gt;0,"",MOD(D119,12)=0,"Year End"&amp;" "&amp;D119/12)</f>
        <v>Year End 9</v>
      </c>
      <c r="V119">
        <v>108</v>
      </c>
    </row>
    <row r="120" spans="4:22">
      <c r="D120" s="30">
        <f>IF(V120&lt;=calcs!$F$4,'Loan Calculator'!V120,"")</f>
        <v>109</v>
      </c>
      <c r="E120" s="27" cm="1">
        <f t="array" ref="E120">_xlfn.IFS(F120="","",G119&lt;F119,G119*calcs!$H$3,$D$8&lt;=0,$M$3-F120,$D$8&gt;0,$M$3-F120+$D$8,G119&lt;F119,G120*calcs!$H$3)</f>
        <v>1279.1944491123807</v>
      </c>
      <c r="F120" s="27" cm="1">
        <f t="array" ref="F120">_xlfn.IFS(F119="","",G119=0,"",G119&lt;1,"",G119&lt;F119,G119,AND(G119&gt;0,$D$8&gt;0),$D$8+($M$3-(G119*calcs!$H$3)),G119&gt;0,$M$3-(G119*calcs!$H$3))</f>
        <v>384.06178883557595</v>
      </c>
      <c r="G120" s="27" cm="1">
        <f t="array" ref="G120">_xlfn.IFS(F120="","",G119-F120&lt;1,0,ISBLANK(F120)=TRUE,"",G119-F120&gt;1,G119-F120)</f>
        <v>218906.41520185827</v>
      </c>
      <c r="H120" s="31">
        <f t="shared" si="2"/>
        <v>181294.92993632716</v>
      </c>
      <c r="I120" s="2" t="str" cm="1">
        <f t="array" ref="I120">_xlfn.IFS(OR(D120="",E120="",F120=""),"",MOD(D120,12)&lt;&gt;0,"",MOD(D120,12)=0,"Year End"&amp;" "&amp;D120/12)</f>
        <v/>
      </c>
      <c r="V120">
        <v>109</v>
      </c>
    </row>
    <row r="121" spans="4:22">
      <c r="D121" s="32">
        <f>IF(V121&lt;=calcs!$F$4,'Loan Calculator'!V121,"")</f>
        <v>110</v>
      </c>
      <c r="E121" s="29" cm="1">
        <f t="array" ref="E121">_xlfn.IFS(F121="","",G120&lt;F120,G120*calcs!$H$3,$D$8&lt;=0,$M$3-F121,$D$8&gt;0,$M$3-F121+$D$8,G120&lt;F120,G121*calcs!$H$3)</f>
        <v>1276.9540886775067</v>
      </c>
      <c r="F121" s="29" cm="1">
        <f t="array" ref="F121">_xlfn.IFS(F120="","",G120=0,"",G120&lt;1,"",G120&lt;F120,G120,AND(G120&gt;0,$D$8&gt;0),$D$8+($M$3-(G120*calcs!$H$3)),G120&gt;0,$M$3-(G120*calcs!$H$3))</f>
        <v>386.30214927044995</v>
      </c>
      <c r="G121" s="29" cm="1">
        <f t="array" ref="G121">_xlfn.IFS(F121="","",G120-F121&lt;1,0,ISBLANK(F121)=TRUE,"",G120-F121&gt;1,G120-F121)</f>
        <v>218520.11305258781</v>
      </c>
      <c r="H121" s="33">
        <f t="shared" si="2"/>
        <v>182958.18617427512</v>
      </c>
      <c r="I121" s="2" t="str" cm="1">
        <f t="array" ref="I121">_xlfn.IFS(OR(D121="",E121="",F121=""),"",MOD(D121,12)&lt;&gt;0,"",MOD(D121,12)=0,"Year End"&amp;" "&amp;D121/12)</f>
        <v/>
      </c>
      <c r="V121">
        <v>110</v>
      </c>
    </row>
    <row r="122" spans="4:22">
      <c r="D122" s="30">
        <f>IF(V122&lt;=calcs!$F$4,'Loan Calculator'!V122,"")</f>
        <v>111</v>
      </c>
      <c r="E122" s="27" cm="1">
        <f t="array" ref="E122">_xlfn.IFS(F122="","",G121&lt;F121,G121*calcs!$H$3,$D$8&lt;=0,$M$3-F122,$D$8&gt;0,$M$3-F122+$D$8,G121&lt;F121,G122*calcs!$H$3)</f>
        <v>1274.7006594734289</v>
      </c>
      <c r="F122" s="27" cm="1">
        <f t="array" ref="F122">_xlfn.IFS(F121="","",G121=0,"",G121&lt;1,"",G121&lt;F121,G121,AND(G121&gt;0,$D$8&gt;0),$D$8+($M$3-(G121*calcs!$H$3)),G121&gt;0,$M$3-(G121*calcs!$H$3))</f>
        <v>388.55557847452769</v>
      </c>
      <c r="G122" s="27" cm="1">
        <f t="array" ref="G122">_xlfn.IFS(F122="","",G121-F122&lt;1,0,ISBLANK(F122)=TRUE,"",G121-F122&gt;1,G121-F122)</f>
        <v>218131.55747411327</v>
      </c>
      <c r="H122" s="31">
        <f t="shared" si="2"/>
        <v>184621.44241222308</v>
      </c>
      <c r="I122" s="2" t="str" cm="1">
        <f t="array" ref="I122">_xlfn.IFS(OR(D122="",E122="",F122=""),"",MOD(D122,12)&lt;&gt;0,"",MOD(D122,12)=0,"Year End"&amp;" "&amp;D122/12)</f>
        <v/>
      </c>
      <c r="V122">
        <v>111</v>
      </c>
    </row>
    <row r="123" spans="4:22">
      <c r="D123" s="32">
        <f>IF(V123&lt;=calcs!$F$4,'Loan Calculator'!V123,"")</f>
        <v>112</v>
      </c>
      <c r="E123" s="29" cm="1">
        <f t="array" ref="E123">_xlfn.IFS(F123="","",G122&lt;F122,G122*calcs!$H$3,$D$8&lt;=0,$M$3-F123,$D$8&gt;0,$M$3-F123+$D$8,G122&lt;F122,G123*calcs!$H$3)</f>
        <v>1272.4340852656608</v>
      </c>
      <c r="F123" s="29" cm="1">
        <f t="array" ref="F123">_xlfn.IFS(F122="","",G122=0,"",G122&lt;1,"",G122&lt;F122,G122,AND(G122&gt;0,$D$8&gt;0),$D$8+($M$3-(G122*calcs!$H$3)),G122&gt;0,$M$3-(G122*calcs!$H$3))</f>
        <v>390.82215268229584</v>
      </c>
      <c r="G123" s="29" cm="1">
        <f t="array" ref="G123">_xlfn.IFS(F123="","",G122-F123&lt;1,0,ISBLANK(F123)=TRUE,"",G122-F123&gt;1,G122-F123)</f>
        <v>217740.73532143098</v>
      </c>
      <c r="H123" s="33">
        <f t="shared" si="2"/>
        <v>186284.69865017105</v>
      </c>
      <c r="I123" s="2" t="str" cm="1">
        <f t="array" ref="I123">_xlfn.IFS(OR(D123="",E123="",F123=""),"",MOD(D123,12)&lt;&gt;0,"",MOD(D123,12)=0,"Year End"&amp;" "&amp;D123/12)</f>
        <v/>
      </c>
      <c r="V123">
        <v>112</v>
      </c>
    </row>
    <row r="124" spans="4:22">
      <c r="D124" s="30">
        <f>IF(V124&lt;=calcs!$F$4,'Loan Calculator'!V124,"")</f>
        <v>113</v>
      </c>
      <c r="E124" s="27" cm="1">
        <f t="array" ref="E124">_xlfn.IFS(F124="","",G123&lt;F123,G123*calcs!$H$3,$D$8&lt;=0,$M$3-F124,$D$8&gt;0,$M$3-F124+$D$8,G123&lt;F123,G124*calcs!$H$3)</f>
        <v>1270.1542893750141</v>
      </c>
      <c r="F124" s="27" cm="1">
        <f t="array" ref="F124">_xlfn.IFS(F123="","",G123=0,"",G123&lt;1,"",G123&lt;F123,G123,AND(G123&gt;0,$D$8&gt;0),$D$8+($M$3-(G123*calcs!$H$3)),G123&gt;0,$M$3-(G123*calcs!$H$3))</f>
        <v>393.10194857294255</v>
      </c>
      <c r="G124" s="27" cm="1">
        <f t="array" ref="G124">_xlfn.IFS(F124="","",G123-F124&lt;1,0,ISBLANK(F124)=TRUE,"",G123-F124&gt;1,G123-F124)</f>
        <v>217347.63337285805</v>
      </c>
      <c r="H124" s="31">
        <f t="shared" si="2"/>
        <v>187947.95488811898</v>
      </c>
      <c r="I124" s="2" t="str" cm="1">
        <f t="array" ref="I124">_xlfn.IFS(OR(D124="",E124="",F124=""),"",MOD(D124,12)&lt;&gt;0,"",MOD(D124,12)=0,"Year End"&amp;" "&amp;D124/12)</f>
        <v/>
      </c>
      <c r="V124">
        <v>113</v>
      </c>
    </row>
    <row r="125" spans="4:22">
      <c r="D125" s="32">
        <f>IF(V125&lt;=calcs!$F$4,'Loan Calculator'!V125,"")</f>
        <v>114</v>
      </c>
      <c r="E125" s="29" cm="1">
        <f t="array" ref="E125">_xlfn.IFS(F125="","",G124&lt;F124,G124*calcs!$H$3,$D$8&lt;=0,$M$3-F125,$D$8&gt;0,$M$3-F125+$D$8,G124&lt;F124,G125*calcs!$H$3)</f>
        <v>1267.8611946750054</v>
      </c>
      <c r="F125" s="29" cm="1">
        <f t="array" ref="F125">_xlfn.IFS(F124="","",G124=0,"",G124&lt;1,"",G124&lt;F124,G124,AND(G124&gt;0,$D$8&gt;0),$D$8+($M$3-(G124*calcs!$H$3)),G124&gt;0,$M$3-(G124*calcs!$H$3))</f>
        <v>395.39504327295117</v>
      </c>
      <c r="G125" s="29" cm="1">
        <f t="array" ref="G125">_xlfn.IFS(F125="","",G124-F125&lt;1,0,ISBLANK(F125)=TRUE,"",G124-F125&gt;1,G124-F125)</f>
        <v>216952.23832958509</v>
      </c>
      <c r="H125" s="33">
        <f t="shared" si="2"/>
        <v>189611.21112606695</v>
      </c>
      <c r="I125" s="2" t="str" cm="1">
        <f t="array" ref="I125">_xlfn.IFS(OR(D125="",E125="",F125=""),"",MOD(D125,12)&lt;&gt;0,"",MOD(D125,12)=0,"Year End"&amp;" "&amp;D125/12)</f>
        <v/>
      </c>
      <c r="V125">
        <v>114</v>
      </c>
    </row>
    <row r="126" spans="4:22">
      <c r="D126" s="30">
        <f>IF(V126&lt;=calcs!$F$4,'Loan Calculator'!V126,"")</f>
        <v>115</v>
      </c>
      <c r="E126" s="27" cm="1">
        <f t="array" ref="E126">_xlfn.IFS(F126="","",G125&lt;F125,G125*calcs!$H$3,$D$8&lt;=0,$M$3-F126,$D$8&gt;0,$M$3-F126+$D$8,G125&lt;F125,G126*calcs!$H$3)</f>
        <v>1265.5547235892464</v>
      </c>
      <c r="F126" s="27" cm="1">
        <f t="array" ref="F126">_xlfn.IFS(F125="","",G125=0,"",G125&lt;1,"",G125&lt;F125,G125,AND(G125&gt;0,$D$8&gt;0),$D$8+($M$3-(G125*calcs!$H$3)),G125&gt;0,$M$3-(G125*calcs!$H$3))</f>
        <v>397.70151435871026</v>
      </c>
      <c r="G126" s="27" cm="1">
        <f t="array" ref="G126">_xlfn.IFS(F126="","",G125-F126&lt;1,0,ISBLANK(F126)=TRUE,"",G125-F126&gt;1,G125-F126)</f>
        <v>216554.53681522637</v>
      </c>
      <c r="H126" s="31">
        <f t="shared" si="2"/>
        <v>191274.46736401491</v>
      </c>
      <c r="I126" s="2" t="str" cm="1">
        <f t="array" ref="I126">_xlfn.IFS(OR(D126="",E126="",F126=""),"",MOD(D126,12)&lt;&gt;0,"",MOD(D126,12)=0,"Year End"&amp;" "&amp;D126/12)</f>
        <v/>
      </c>
      <c r="V126">
        <v>115</v>
      </c>
    </row>
    <row r="127" spans="4:22">
      <c r="D127" s="32">
        <f>IF(V127&lt;=calcs!$F$4,'Loan Calculator'!V127,"")</f>
        <v>116</v>
      </c>
      <c r="E127" s="29" cm="1">
        <f t="array" ref="E127">_xlfn.IFS(F127="","",G126&lt;F126,G126*calcs!$H$3,$D$8&lt;=0,$M$3-F127,$D$8&gt;0,$M$3-F127+$D$8,G126&lt;F126,G127*calcs!$H$3)</f>
        <v>1263.2347980888205</v>
      </c>
      <c r="F127" s="29" cm="1">
        <f t="array" ref="F127">_xlfn.IFS(F126="","",G126=0,"",G126&lt;1,"",G126&lt;F126,G126,AND(G126&gt;0,$D$8&gt;0),$D$8+($M$3-(G126*calcs!$H$3)),G126&gt;0,$M$3-(G126*calcs!$H$3))</f>
        <v>400.02143985913608</v>
      </c>
      <c r="G127" s="29" cm="1">
        <f t="array" ref="G127">_xlfn.IFS(F127="","",G126-F127&lt;1,0,ISBLANK(F127)=TRUE,"",G126-F127&gt;1,G126-F127)</f>
        <v>216154.51537536722</v>
      </c>
      <c r="H127" s="33">
        <f t="shared" si="2"/>
        <v>192937.72360196288</v>
      </c>
      <c r="I127" s="2" t="str" cm="1">
        <f t="array" ref="I127">_xlfn.IFS(OR(D127="",E127="",F127=""),"",MOD(D127,12)&lt;&gt;0,"",MOD(D127,12)=0,"Year End"&amp;" "&amp;D127/12)</f>
        <v/>
      </c>
      <c r="V127">
        <v>116</v>
      </c>
    </row>
    <row r="128" spans="4:22">
      <c r="D128" s="30">
        <f>IF(V128&lt;=calcs!$F$4,'Loan Calculator'!V128,"")</f>
        <v>117</v>
      </c>
      <c r="E128" s="27" cm="1">
        <f t="array" ref="E128">_xlfn.IFS(F128="","",G127&lt;F127,G127*calcs!$H$3,$D$8&lt;=0,$M$3-F128,$D$8&gt;0,$M$3-F128+$D$8,G127&lt;F127,G128*calcs!$H$3)</f>
        <v>1260.9013396896421</v>
      </c>
      <c r="F128" s="27" cm="1">
        <f t="array" ref="F128">_xlfn.IFS(F127="","",G127=0,"",G127&lt;1,"",G127&lt;F127,G127,AND(G127&gt;0,$D$8&gt;0),$D$8+($M$3-(G127*calcs!$H$3)),G127&gt;0,$M$3-(G127*calcs!$H$3))</f>
        <v>402.35489825831451</v>
      </c>
      <c r="G128" s="27" cm="1">
        <f t="array" ref="G128">_xlfn.IFS(F128="","",G127-F128&lt;1,0,ISBLANK(F128)=TRUE,"",G127-F128&gt;1,G127-F128)</f>
        <v>215752.1604771089</v>
      </c>
      <c r="H128" s="31">
        <f t="shared" si="2"/>
        <v>194600.97983991084</v>
      </c>
      <c r="I128" s="2" t="str" cm="1">
        <f t="array" ref="I128">_xlfn.IFS(OR(D128="",E128="",F128=""),"",MOD(D128,12)&lt;&gt;0,"",MOD(D128,12)=0,"Year End"&amp;" "&amp;D128/12)</f>
        <v/>
      </c>
      <c r="V128">
        <v>117</v>
      </c>
    </row>
    <row r="129" spans="4:22">
      <c r="D129" s="32">
        <f>IF(V129&lt;=calcs!$F$4,'Loan Calculator'!V129,"")</f>
        <v>118</v>
      </c>
      <c r="E129" s="29" cm="1">
        <f t="array" ref="E129">_xlfn.IFS(F129="","",G128&lt;F128,G128*calcs!$H$3,$D$8&lt;=0,$M$3-F129,$D$8&gt;0,$M$3-F129+$D$8,G128&lt;F128,G129*calcs!$H$3)</f>
        <v>1258.554269449802</v>
      </c>
      <c r="F129" s="29" cm="1">
        <f t="array" ref="F129">_xlfn.IFS(F128="","",G128=0,"",G128&lt;1,"",G128&lt;F128,G128,AND(G128&gt;0,$D$8&gt;0),$D$8+($M$3-(G128*calcs!$H$3)),G128&gt;0,$M$3-(G128*calcs!$H$3))</f>
        <v>404.70196849815466</v>
      </c>
      <c r="G129" s="29" cm="1">
        <f t="array" ref="G129">_xlfn.IFS(F129="","",G128-F129&lt;1,0,ISBLANK(F129)=TRUE,"",G128-F129&gt;1,G128-F129)</f>
        <v>215347.45850861075</v>
      </c>
      <c r="H129" s="33">
        <f t="shared" si="2"/>
        <v>196264.2360778588</v>
      </c>
      <c r="I129" s="2" t="str" cm="1">
        <f t="array" ref="I129">_xlfn.IFS(OR(D129="",E129="",F129=""),"",MOD(D129,12)&lt;&gt;0,"",MOD(D129,12)=0,"Year End"&amp;" "&amp;D129/12)</f>
        <v/>
      </c>
      <c r="V129">
        <v>118</v>
      </c>
    </row>
    <row r="130" spans="4:22">
      <c r="D130" s="30">
        <f>IF(V130&lt;=calcs!$F$4,'Loan Calculator'!V130,"")</f>
        <v>119</v>
      </c>
      <c r="E130" s="27" cm="1">
        <f t="array" ref="E130">_xlfn.IFS(F130="","",G129&lt;F129,G129*calcs!$H$3,$D$8&lt;=0,$M$3-F130,$D$8&gt;0,$M$3-F130+$D$8,G129&lt;F129,G130*calcs!$H$3)</f>
        <v>1256.193507966896</v>
      </c>
      <c r="F130" s="27" cm="1">
        <f t="array" ref="F130">_xlfn.IFS(F129="","",G129=0,"",G129&lt;1,"",G129&lt;F129,G129,AND(G129&gt;0,$D$8&gt;0),$D$8+($M$3-(G129*calcs!$H$3)),G129&gt;0,$M$3-(G129*calcs!$H$3))</f>
        <v>407.06272998106056</v>
      </c>
      <c r="G130" s="27" cm="1">
        <f t="array" ref="G130">_xlfn.IFS(F130="","",G129-F130&lt;1,0,ISBLANK(F130)=TRUE,"",G129-F130&gt;1,G129-F130)</f>
        <v>214940.3957786297</v>
      </c>
      <c r="H130" s="31">
        <f t="shared" si="2"/>
        <v>197927.49231580677</v>
      </c>
      <c r="I130" s="2" t="str" cm="1">
        <f t="array" ref="I130">_xlfn.IFS(OR(D130="",E130="",F130=""),"",MOD(D130,12)&lt;&gt;0,"",MOD(D130,12)=0,"Year End"&amp;" "&amp;D130/12)</f>
        <v/>
      </c>
      <c r="V130">
        <v>119</v>
      </c>
    </row>
    <row r="131" spans="4:22">
      <c r="D131" s="32">
        <f>IF(V131&lt;=calcs!$F$4,'Loan Calculator'!V131,"")</f>
        <v>120</v>
      </c>
      <c r="E131" s="29" cm="1">
        <f t="array" ref="E131">_xlfn.IFS(F131="","",G130&lt;F130,G130*calcs!$H$3,$D$8&lt;=0,$M$3-F131,$D$8&gt;0,$M$3-F131+$D$8,G130&lt;F130,G131*calcs!$H$3)</f>
        <v>1253.81897537534</v>
      </c>
      <c r="F131" s="29" cm="1">
        <f t="array" ref="F131">_xlfn.IFS(F130="","",G130=0,"",G130&lt;1,"",G130&lt;F130,G130,AND(G130&gt;0,$D$8&gt;0),$D$8+($M$3-(G130*calcs!$H$3)),G130&gt;0,$M$3-(G130*calcs!$H$3))</f>
        <v>409.43726257261665</v>
      </c>
      <c r="G131" s="29" cm="1">
        <f t="array" ref="G131">_xlfn.IFS(F131="","",G130-F131&lt;1,0,ISBLANK(F131)=TRUE,"",G130-F131&gt;1,G130-F131)</f>
        <v>214530.95851605709</v>
      </c>
      <c r="H131" s="33">
        <f t="shared" si="2"/>
        <v>199590.74855375473</v>
      </c>
      <c r="I131" s="2" t="str" cm="1">
        <f t="array" ref="I131">_xlfn.IFS(OR(D131="",E131="",F131=""),"",MOD(D131,12)&lt;&gt;0,"",MOD(D131,12)=0,"Year End"&amp;" "&amp;D131/12)</f>
        <v>Year End 10</v>
      </c>
      <c r="V131">
        <v>120</v>
      </c>
    </row>
    <row r="132" spans="4:22">
      <c r="D132" s="30">
        <f>IF(V132&lt;=calcs!$F$4,'Loan Calculator'!V132,"")</f>
        <v>121</v>
      </c>
      <c r="E132" s="27" cm="1">
        <f t="array" ref="E132">_xlfn.IFS(F132="","",G131&lt;F131,G131*calcs!$H$3,$D$8&lt;=0,$M$3-F132,$D$8&gt;0,$M$3-F132+$D$8,G131&lt;F131,G132*calcs!$H$3)</f>
        <v>1251.4305913436665</v>
      </c>
      <c r="F132" s="27" cm="1">
        <f t="array" ref="F132">_xlfn.IFS(F131="","",G131=0,"",G131&lt;1,"",G131&lt;F131,G131,AND(G131&gt;0,$D$8&gt;0),$D$8+($M$3-(G131*calcs!$H$3)),G131&gt;0,$M$3-(G131*calcs!$H$3))</f>
        <v>411.82564660429011</v>
      </c>
      <c r="G132" s="27" cm="1">
        <f t="array" ref="G132">_xlfn.IFS(F132="","",G131-F132&lt;1,0,ISBLANK(F132)=TRUE,"",G131-F132&gt;1,G131-F132)</f>
        <v>214119.13286945279</v>
      </c>
      <c r="H132" s="31">
        <f t="shared" si="2"/>
        <v>201254.0047917027</v>
      </c>
      <c r="I132" s="2" t="str" cm="1">
        <f t="array" ref="I132">_xlfn.IFS(OR(D132="",E132="",F132=""),"",MOD(D132,12)&lt;&gt;0,"",MOD(D132,12)=0,"Year End"&amp;" "&amp;D132/12)</f>
        <v/>
      </c>
      <c r="V132">
        <v>121</v>
      </c>
    </row>
    <row r="133" spans="4:22">
      <c r="D133" s="32">
        <f>IF(V133&lt;=calcs!$F$4,'Loan Calculator'!V133,"")</f>
        <v>122</v>
      </c>
      <c r="E133" s="29" cm="1">
        <f t="array" ref="E133">_xlfn.IFS(F133="","",G132&lt;F132,G132*calcs!$H$3,$D$8&lt;=0,$M$3-F133,$D$8&gt;0,$M$3-F133+$D$8,G132&lt;F132,G133*calcs!$H$3)</f>
        <v>1249.0282750718079</v>
      </c>
      <c r="F133" s="29" cm="1">
        <f t="array" ref="F133">_xlfn.IFS(F132="","",G132=0,"",G132&lt;1,"",G132&lt;F132,G132,AND(G132&gt;0,$D$8&gt;0),$D$8+($M$3-(G132*calcs!$H$3)),G132&gt;0,$M$3-(G132*calcs!$H$3))</f>
        <v>414.22796287614869</v>
      </c>
      <c r="G133" s="29" cm="1">
        <f t="array" ref="G133">_xlfn.IFS(F133="","",G132-F133&lt;1,0,ISBLANK(F133)=TRUE,"",G132-F133&gt;1,G132-F133)</f>
        <v>213704.90490657664</v>
      </c>
      <c r="H133" s="33">
        <f t="shared" si="2"/>
        <v>202917.26102965066</v>
      </c>
      <c r="I133" s="2" t="str" cm="1">
        <f t="array" ref="I133">_xlfn.IFS(OR(D133="",E133="",F133=""),"",MOD(D133,12)&lt;&gt;0,"",MOD(D133,12)=0,"Year End"&amp;" "&amp;D133/12)</f>
        <v/>
      </c>
      <c r="V133">
        <v>122</v>
      </c>
    </row>
    <row r="134" spans="4:22">
      <c r="D134" s="30">
        <f>IF(V134&lt;=calcs!$F$4,'Loan Calculator'!V134,"")</f>
        <v>123</v>
      </c>
      <c r="E134" s="27" cm="1">
        <f t="array" ref="E134">_xlfn.IFS(F134="","",G133&lt;F133,G133*calcs!$H$3,$D$8&lt;=0,$M$3-F134,$D$8&gt;0,$M$3-F134+$D$8,G133&lt;F133,G134*calcs!$H$3)</f>
        <v>1246.6119452883638</v>
      </c>
      <c r="F134" s="27" cm="1">
        <f t="array" ref="F134">_xlfn.IFS(F133="","",G133=0,"",G133&lt;1,"",G133&lt;F133,G133,AND(G133&gt;0,$D$8&gt;0),$D$8+($M$3-(G133*calcs!$H$3)),G133&gt;0,$M$3-(G133*calcs!$H$3))</f>
        <v>416.64429265959279</v>
      </c>
      <c r="G134" s="27" cm="1">
        <f t="array" ref="G134">_xlfn.IFS(F134="","",G133-F134&lt;1,0,ISBLANK(F134)=TRUE,"",G133-F134&gt;1,G133-F134)</f>
        <v>213288.26061391705</v>
      </c>
      <c r="H134" s="31">
        <f t="shared" si="2"/>
        <v>204580.51726759863</v>
      </c>
      <c r="I134" s="2" t="str" cm="1">
        <f t="array" ref="I134">_xlfn.IFS(OR(D134="",E134="",F134=""),"",MOD(D134,12)&lt;&gt;0,"",MOD(D134,12)=0,"Year End"&amp;" "&amp;D134/12)</f>
        <v/>
      </c>
      <c r="V134">
        <v>123</v>
      </c>
    </row>
    <row r="135" spans="4:22">
      <c r="D135" s="32">
        <f>IF(V135&lt;=calcs!$F$4,'Loan Calculator'!V135,"")</f>
        <v>124</v>
      </c>
      <c r="E135" s="29" cm="1">
        <f t="array" ref="E135">_xlfn.IFS(F135="","",G134&lt;F134,G134*calcs!$H$3,$D$8&lt;=0,$M$3-F135,$D$8&gt;0,$M$3-F135+$D$8,G134&lt;F134,G135*calcs!$H$3)</f>
        <v>1244.1815202478494</v>
      </c>
      <c r="F135" s="29" cm="1">
        <f t="array" ref="F135">_xlfn.IFS(F134="","",G134=0,"",G134&lt;1,"",G134&lt;F134,G134,AND(G134&gt;0,$D$8&gt;0),$D$8+($M$3-(G134*calcs!$H$3)),G134&gt;0,$M$3-(G134*calcs!$H$3))</f>
        <v>419.07471770010716</v>
      </c>
      <c r="G135" s="29" cm="1">
        <f t="array" ref="G135">_xlfn.IFS(F135="","",G134-F135&lt;1,0,ISBLANK(F135)=TRUE,"",G134-F135&gt;1,G134-F135)</f>
        <v>212869.18589621695</v>
      </c>
      <c r="H135" s="33">
        <f t="shared" si="2"/>
        <v>206243.77350554659</v>
      </c>
      <c r="I135" s="2" t="str" cm="1">
        <f t="array" ref="I135">_xlfn.IFS(OR(D135="",E135="",F135=""),"",MOD(D135,12)&lt;&gt;0,"",MOD(D135,12)=0,"Year End"&amp;" "&amp;D135/12)</f>
        <v/>
      </c>
      <c r="V135">
        <v>124</v>
      </c>
    </row>
    <row r="136" spans="4:22">
      <c r="D136" s="30">
        <f>IF(V136&lt;=calcs!$F$4,'Loan Calculator'!V136,"")</f>
        <v>125</v>
      </c>
      <c r="E136" s="27" cm="1">
        <f t="array" ref="E136">_xlfn.IFS(F136="","",G135&lt;F135,G135*calcs!$H$3,$D$8&lt;=0,$M$3-F136,$D$8&gt;0,$M$3-F136+$D$8,G135&lt;F135,G136*calcs!$H$3)</f>
        <v>1241.7369177279322</v>
      </c>
      <c r="F136" s="27" cm="1">
        <f t="array" ref="F136">_xlfn.IFS(F135="","",G135=0,"",G135&lt;1,"",G135&lt;F135,G135,AND(G135&gt;0,$D$8&gt;0),$D$8+($M$3-(G135*calcs!$H$3)),G135&gt;0,$M$3-(G135*calcs!$H$3))</f>
        <v>421.51932022002438</v>
      </c>
      <c r="G136" s="27" cm="1">
        <f t="array" ref="G136">_xlfn.IFS(F136="","",G135-F136&lt;1,0,ISBLANK(F136)=TRUE,"",G135-F136&gt;1,G135-F136)</f>
        <v>212447.66657599693</v>
      </c>
      <c r="H136" s="31">
        <f t="shared" si="2"/>
        <v>207907.02974349452</v>
      </c>
      <c r="I136" s="2" t="str" cm="1">
        <f t="array" ref="I136">_xlfn.IFS(OR(D136="",E136="",F136=""),"",MOD(D136,12)&lt;&gt;0,"",MOD(D136,12)=0,"Year End"&amp;" "&amp;D136/12)</f>
        <v/>
      </c>
      <c r="V136">
        <v>125</v>
      </c>
    </row>
    <row r="137" spans="4:22">
      <c r="D137" s="32">
        <f>IF(V137&lt;=calcs!$F$4,'Loan Calculator'!V137,"")</f>
        <v>126</v>
      </c>
      <c r="E137" s="29" cm="1">
        <f t="array" ref="E137">_xlfn.IFS(F137="","",G136&lt;F136,G136*calcs!$H$3,$D$8&lt;=0,$M$3-F137,$D$8&gt;0,$M$3-F137+$D$8,G136&lt;F136,G137*calcs!$H$3)</f>
        <v>1239.2780550266489</v>
      </c>
      <c r="F137" s="29" cm="1">
        <f t="array" ref="F137">_xlfn.IFS(F136="","",G136=0,"",G136&lt;1,"",G136&lt;F136,G136,AND(G136&gt;0,$D$8&gt;0),$D$8+($M$3-(G136*calcs!$H$3)),G136&gt;0,$M$3-(G136*calcs!$H$3))</f>
        <v>423.97818292130773</v>
      </c>
      <c r="G137" s="29" cm="1">
        <f t="array" ref="G137">_xlfn.IFS(F137="","",G136-F137&lt;1,0,ISBLANK(F137)=TRUE,"",G136-F137&gt;1,G136-F137)</f>
        <v>212023.68839307563</v>
      </c>
      <c r="H137" s="33">
        <f t="shared" si="2"/>
        <v>209570.28598144249</v>
      </c>
      <c r="I137" s="2" t="str" cm="1">
        <f t="array" ref="I137">_xlfn.IFS(OR(D137="",E137="",F137=""),"",MOD(D137,12)&lt;&gt;0,"",MOD(D137,12)=0,"Year End"&amp;" "&amp;D137/12)</f>
        <v/>
      </c>
      <c r="V137">
        <v>126</v>
      </c>
    </row>
    <row r="138" spans="4:22">
      <c r="D138" s="30">
        <f>IF(V138&lt;=calcs!$F$4,'Loan Calculator'!V138,"")</f>
        <v>127</v>
      </c>
      <c r="E138" s="27" cm="1">
        <f t="array" ref="E138">_xlfn.IFS(F138="","",G137&lt;F137,G137*calcs!$H$3,$D$8&lt;=0,$M$3-F138,$D$8&gt;0,$M$3-F138+$D$8,G137&lt;F137,G138*calcs!$H$3)</f>
        <v>1236.8048489596079</v>
      </c>
      <c r="F138" s="27" cm="1">
        <f t="array" ref="F138">_xlfn.IFS(F137="","",G137=0,"",G137&lt;1,"",G137&lt;F137,G137,AND(G137&gt;0,$D$8&gt;0),$D$8+($M$3-(G137*calcs!$H$3)),G137&gt;0,$M$3-(G137*calcs!$H$3))</f>
        <v>426.45138898834875</v>
      </c>
      <c r="G138" s="27" cm="1">
        <f t="array" ref="G138">_xlfn.IFS(F138="","",G137-F138&lt;1,0,ISBLANK(F138)=TRUE,"",G137-F138&gt;1,G137-F138)</f>
        <v>211597.23700408728</v>
      </c>
      <c r="H138" s="31">
        <f t="shared" si="2"/>
        <v>211233.54221939045</v>
      </c>
      <c r="I138" s="2" t="str" cm="1">
        <f t="array" ref="I138">_xlfn.IFS(OR(D138="",E138="",F138=""),"",MOD(D138,12)&lt;&gt;0,"",MOD(D138,12)=0,"Year End"&amp;" "&amp;D138/12)</f>
        <v/>
      </c>
      <c r="V138">
        <v>127</v>
      </c>
    </row>
    <row r="139" spans="4:22">
      <c r="D139" s="32">
        <f>IF(V139&lt;=calcs!$F$4,'Loan Calculator'!V139,"")</f>
        <v>128</v>
      </c>
      <c r="E139" s="29" cm="1">
        <f t="array" ref="E139">_xlfn.IFS(F139="","",G138&lt;F138,G138*calcs!$H$3,$D$8&lt;=0,$M$3-F139,$D$8&gt;0,$M$3-F139+$D$8,G138&lt;F138,G139*calcs!$H$3)</f>
        <v>1234.3172158571758</v>
      </c>
      <c r="F139" s="29" cm="1">
        <f t="array" ref="F139">_xlfn.IFS(F138="","",G138=0,"",G138&lt;1,"",G138&lt;F138,G138,AND(G138&gt;0,$D$8&gt;0),$D$8+($M$3-(G138*calcs!$H$3)),G138&gt;0,$M$3-(G138*calcs!$H$3))</f>
        <v>428.93902209078078</v>
      </c>
      <c r="G139" s="29" cm="1">
        <f t="array" ref="G139">_xlfn.IFS(F139="","",G138-F139&lt;1,0,ISBLANK(F139)=TRUE,"",G138-F139&gt;1,G138-F139)</f>
        <v>211168.2979819965</v>
      </c>
      <c r="H139" s="33">
        <f t="shared" si="2"/>
        <v>212896.79845733842</v>
      </c>
      <c r="I139" s="2" t="str" cm="1">
        <f t="array" ref="I139">_xlfn.IFS(OR(D139="",E139="",F139=""),"",MOD(D139,12)&lt;&gt;0,"",MOD(D139,12)=0,"Year End"&amp;" "&amp;D139/12)</f>
        <v/>
      </c>
      <c r="V139">
        <v>128</v>
      </c>
    </row>
    <row r="140" spans="4:22">
      <c r="D140" s="30">
        <f>IF(V140&lt;=calcs!$F$4,'Loan Calculator'!V140,"")</f>
        <v>129</v>
      </c>
      <c r="E140" s="27" cm="1">
        <f t="array" ref="E140">_xlfn.IFS(F140="","",G139&lt;F139,G139*calcs!$H$3,$D$8&lt;=0,$M$3-F140,$D$8&gt;0,$M$3-F140+$D$8,G139&lt;F139,G140*calcs!$H$3)</f>
        <v>1231.8150715616464</v>
      </c>
      <c r="F140" s="27" cm="1">
        <f t="array" ref="F140">_xlfn.IFS(F139="","",G139=0,"",G139&lt;1,"",G139&lt;F139,G139,AND(G139&gt;0,$D$8&gt;0),$D$8+($M$3-(G139*calcs!$H$3)),G139&gt;0,$M$3-(G139*calcs!$H$3))</f>
        <v>431.44116638631021</v>
      </c>
      <c r="G140" s="27" cm="1">
        <f t="array" ref="G140">_xlfn.IFS(F140="","",G139-F140&lt;1,0,ISBLANK(F140)=TRUE,"",G139-F140&gt;1,G139-F140)</f>
        <v>210736.8568156102</v>
      </c>
      <c r="H140" s="31">
        <f t="shared" si="2"/>
        <v>214560.05469528635</v>
      </c>
      <c r="I140" s="2" t="str" cm="1">
        <f t="array" ref="I140">_xlfn.IFS(OR(D140="",E140="",F140=""),"",MOD(D140,12)&lt;&gt;0,"",MOD(D140,12)=0,"Year End"&amp;" "&amp;D140/12)</f>
        <v/>
      </c>
      <c r="V140">
        <v>129</v>
      </c>
    </row>
    <row r="141" spans="4:22">
      <c r="D141" s="32">
        <f>IF(V141&lt;=calcs!$F$4,'Loan Calculator'!V141,"")</f>
        <v>130</v>
      </c>
      <c r="E141" s="29" cm="1">
        <f t="array" ref="E141">_xlfn.IFS(F141="","",G140&lt;F140,G140*calcs!$H$3,$D$8&lt;=0,$M$3-F141,$D$8&gt;0,$M$3-F141+$D$8,G140&lt;F140,G141*calcs!$H$3)</f>
        <v>1229.2983314243929</v>
      </c>
      <c r="F141" s="29" cm="1">
        <f t="array" ref="F141">_xlfn.IFS(F140="","",G140=0,"",G140&lt;1,"",G140&lt;F140,G140,AND(G140&gt;0,$D$8&gt;0),$D$8+($M$3-(G140*calcs!$H$3)),G140&gt;0,$M$3-(G140*calcs!$H$3))</f>
        <v>433.95790652356368</v>
      </c>
      <c r="G141" s="29" cm="1">
        <f t="array" ref="G141">_xlfn.IFS(F141="","",G140-F141&lt;1,0,ISBLANK(F141)=TRUE,"",G140-F141&gt;1,G140-F141)</f>
        <v>210302.89890908662</v>
      </c>
      <c r="H141" s="33">
        <f t="shared" si="2"/>
        <v>216223.31093323432</v>
      </c>
      <c r="I141" s="2" t="str" cm="1">
        <f t="array" ref="I141">_xlfn.IFS(OR(D141="",E141="",F141=""),"",MOD(D141,12)&lt;&gt;0,"",MOD(D141,12)=0,"Year End"&amp;" "&amp;D141/12)</f>
        <v/>
      </c>
      <c r="V141">
        <v>130</v>
      </c>
    </row>
    <row r="142" spans="4:22">
      <c r="D142" s="30">
        <f>IF(V142&lt;=calcs!$F$4,'Loan Calculator'!V142,"")</f>
        <v>131</v>
      </c>
      <c r="E142" s="27" cm="1">
        <f t="array" ref="E142">_xlfn.IFS(F142="","",G141&lt;F141,G141*calcs!$H$3,$D$8&lt;=0,$M$3-F142,$D$8&gt;0,$M$3-F142+$D$8,G141&lt;F141,G142*calcs!$H$3)</f>
        <v>1226.7669103030053</v>
      </c>
      <c r="F142" s="27" cm="1">
        <f t="array" ref="F142">_xlfn.IFS(F141="","",G141=0,"",G141&lt;1,"",G141&lt;F141,G141,AND(G141&gt;0,$D$8&gt;0),$D$8+($M$3-(G141*calcs!$H$3)),G141&gt;0,$M$3-(G141*calcs!$H$3))</f>
        <v>436.48932764495135</v>
      </c>
      <c r="G142" s="27" cm="1">
        <f t="array" ref="G142">_xlfn.IFS(F142="","",G141-F142&lt;1,0,ISBLANK(F142)=TRUE,"",G141-F142&gt;1,G141-F142)</f>
        <v>209866.40958144167</v>
      </c>
      <c r="H142" s="31">
        <f t="shared" ref="H142:H205" si="3">IF(OR(H141=0,H141="",E142="",F142=""),"",H141+E142+F142)</f>
        <v>217886.56717118228</v>
      </c>
      <c r="I142" s="2" t="str" cm="1">
        <f t="array" ref="I142">_xlfn.IFS(OR(D142="",E142="",F142=""),"",MOD(D142,12)&lt;&gt;0,"",MOD(D142,12)=0,"Year End"&amp;" "&amp;D142/12)</f>
        <v/>
      </c>
      <c r="V142">
        <v>131</v>
      </c>
    </row>
    <row r="143" spans="4:22">
      <c r="D143" s="32">
        <f>IF(V143&lt;=calcs!$F$4,'Loan Calculator'!V143,"")</f>
        <v>132</v>
      </c>
      <c r="E143" s="29" cm="1">
        <f t="array" ref="E143">_xlfn.IFS(F143="","",G142&lt;F142,G142*calcs!$H$3,$D$8&lt;=0,$M$3-F143,$D$8&gt;0,$M$3-F143+$D$8,G142&lt;F142,G143*calcs!$H$3)</f>
        <v>1224.2207225584098</v>
      </c>
      <c r="F143" s="29" cm="1">
        <f t="array" ref="F143">_xlfn.IFS(F142="","",G142=0,"",G142&lt;1,"",G142&lt;F142,G142,AND(G142&gt;0,$D$8&gt;0),$D$8+($M$3-(G142*calcs!$H$3)),G142&gt;0,$M$3-(G142*calcs!$H$3))</f>
        <v>439.03551538954684</v>
      </c>
      <c r="G143" s="29" cm="1">
        <f t="array" ref="G143">_xlfn.IFS(F143="","",G142-F143&lt;1,0,ISBLANK(F143)=TRUE,"",G142-F143&gt;1,G142-F143)</f>
        <v>209427.37406605211</v>
      </c>
      <c r="H143" s="33">
        <f t="shared" si="3"/>
        <v>219549.82340913024</v>
      </c>
      <c r="I143" s="2" t="str" cm="1">
        <f t="array" ref="I143">_xlfn.IFS(OR(D143="",E143="",F143=""),"",MOD(D143,12)&lt;&gt;0,"",MOD(D143,12)=0,"Year End"&amp;" "&amp;D143/12)</f>
        <v>Year End 11</v>
      </c>
      <c r="V143">
        <v>132</v>
      </c>
    </row>
    <row r="144" spans="4:22">
      <c r="D144" s="30">
        <f>IF(V144&lt;=calcs!$F$4,'Loan Calculator'!V144,"")</f>
        <v>133</v>
      </c>
      <c r="E144" s="27" cm="1">
        <f t="array" ref="E144">_xlfn.IFS(F144="","",G143&lt;F143,G143*calcs!$H$3,$D$8&lt;=0,$M$3-F144,$D$8&gt;0,$M$3-F144+$D$8,G143&lt;F143,G144*calcs!$H$3)</f>
        <v>1221.6596820519708</v>
      </c>
      <c r="F144" s="27" cm="1">
        <f t="array" ref="F144">_xlfn.IFS(F143="","",G143=0,"",G143&lt;1,"",G143&lt;F143,G143,AND(G143&gt;0,$D$8&gt;0),$D$8+($M$3-(G143*calcs!$H$3)),G143&gt;0,$M$3-(G143*calcs!$H$3))</f>
        <v>441.59655589598583</v>
      </c>
      <c r="G144" s="27" cm="1">
        <f t="array" ref="G144">_xlfn.IFS(F144="","",G143-F144&lt;1,0,ISBLANK(F144)=TRUE,"",G143-F144&gt;1,G143-F144)</f>
        <v>208985.77751015613</v>
      </c>
      <c r="H144" s="31">
        <f t="shared" si="3"/>
        <v>221213.07964707821</v>
      </c>
      <c r="I144" s="2" t="str" cm="1">
        <f t="array" ref="I144">_xlfn.IFS(OR(D144="",E144="",F144=""),"",MOD(D144,12)&lt;&gt;0,"",MOD(D144,12)=0,"Year End"&amp;" "&amp;D144/12)</f>
        <v/>
      </c>
      <c r="V144">
        <v>133</v>
      </c>
    </row>
    <row r="145" spans="4:22">
      <c r="D145" s="32">
        <f>IF(V145&lt;=calcs!$F$4,'Loan Calculator'!V145,"")</f>
        <v>134</v>
      </c>
      <c r="E145" s="29" cm="1">
        <f t="array" ref="E145">_xlfn.IFS(F145="","",G144&lt;F144,G144*calcs!$H$3,$D$8&lt;=0,$M$3-F145,$D$8&gt;0,$M$3-F145+$D$8,G144&lt;F144,G145*calcs!$H$3)</f>
        <v>1219.0837021425775</v>
      </c>
      <c r="F145" s="29" cm="1">
        <f t="array" ref="F145">_xlfn.IFS(F144="","",G144=0,"",G144&lt;1,"",G144&lt;F144,G144,AND(G144&gt;0,$D$8&gt;0),$D$8+($M$3-(G144*calcs!$H$3)),G144&gt;0,$M$3-(G144*calcs!$H$3))</f>
        <v>444.17253580537908</v>
      </c>
      <c r="G145" s="29" cm="1">
        <f t="array" ref="G145">_xlfn.IFS(F145="","",G144-F145&lt;1,0,ISBLANK(F145)=TRUE,"",G144-F145&gt;1,G144-F145)</f>
        <v>208541.60497435075</v>
      </c>
      <c r="H145" s="33">
        <f t="shared" si="3"/>
        <v>222876.33588502617</v>
      </c>
      <c r="I145" s="2" t="str" cm="1">
        <f t="array" ref="I145">_xlfn.IFS(OR(D145="",E145="",F145=""),"",MOD(D145,12)&lt;&gt;0,"",MOD(D145,12)=0,"Year End"&amp;" "&amp;D145/12)</f>
        <v/>
      </c>
      <c r="V145">
        <v>134</v>
      </c>
    </row>
    <row r="146" spans="4:22">
      <c r="D146" s="30">
        <f>IF(V146&lt;=calcs!$F$4,'Loan Calculator'!V146,"")</f>
        <v>135</v>
      </c>
      <c r="E146" s="27" cm="1">
        <f t="array" ref="E146">_xlfn.IFS(F146="","",G145&lt;F145,G145*calcs!$H$3,$D$8&lt;=0,$M$3-F146,$D$8&gt;0,$M$3-F146+$D$8,G145&lt;F145,G146*calcs!$H$3)</f>
        <v>1216.4926956837128</v>
      </c>
      <c r="F146" s="27" cm="1">
        <f t="array" ref="F146">_xlfn.IFS(F145="","",G145=0,"",G145&lt;1,"",G145&lt;F145,G145,AND(G145&gt;0,$D$8&gt;0),$D$8+($M$3-(G145*calcs!$H$3)),G145&gt;0,$M$3-(G145*calcs!$H$3))</f>
        <v>446.76354226424382</v>
      </c>
      <c r="G146" s="27" cm="1">
        <f t="array" ref="G146">_xlfn.IFS(F146="","",G145-F146&lt;1,0,ISBLANK(F146)=TRUE,"",G145-F146&gt;1,G145-F146)</f>
        <v>208094.84143208651</v>
      </c>
      <c r="H146" s="31">
        <f t="shared" si="3"/>
        <v>224539.59212297411</v>
      </c>
      <c r="I146" s="2" t="str" cm="1">
        <f t="array" ref="I146">_xlfn.IFS(OR(D146="",E146="",F146=""),"",MOD(D146,12)&lt;&gt;0,"",MOD(D146,12)=0,"Year End"&amp;" "&amp;D146/12)</f>
        <v/>
      </c>
      <c r="V146">
        <v>135</v>
      </c>
    </row>
    <row r="147" spans="4:22">
      <c r="D147" s="32">
        <f>IF(V147&lt;=calcs!$F$4,'Loan Calculator'!V147,"")</f>
        <v>136</v>
      </c>
      <c r="E147" s="29" cm="1">
        <f t="array" ref="E147">_xlfn.IFS(F147="","",G146&lt;F146,G146*calcs!$H$3,$D$8&lt;=0,$M$3-F147,$D$8&gt;0,$M$3-F147+$D$8,G146&lt;F146,G147*calcs!$H$3)</f>
        <v>1213.8865750205048</v>
      </c>
      <c r="F147" s="29" cm="1">
        <f t="array" ref="F147">_xlfn.IFS(F146="","",G146=0,"",G146&lt;1,"",G146&lt;F146,G146,AND(G146&gt;0,$D$8&gt;0),$D$8+($M$3-(G146*calcs!$H$3)),G146&gt;0,$M$3-(G146*calcs!$H$3))</f>
        <v>449.36966292745183</v>
      </c>
      <c r="G147" s="29" cm="1">
        <f t="array" ref="G147">_xlfn.IFS(F147="","",G146-F147&lt;1,0,ISBLANK(F147)=TRUE,"",G146-F147&gt;1,G146-F147)</f>
        <v>207645.47176915905</v>
      </c>
      <c r="H147" s="33">
        <f t="shared" si="3"/>
        <v>226202.84836092207</v>
      </c>
      <c r="I147" s="2" t="str" cm="1">
        <f t="array" ref="I147">_xlfn.IFS(OR(D147="",E147="",F147=""),"",MOD(D147,12)&lt;&gt;0,"",MOD(D147,12)=0,"Year End"&amp;" "&amp;D147/12)</f>
        <v/>
      </c>
      <c r="V147">
        <v>136</v>
      </c>
    </row>
    <row r="148" spans="4:22">
      <c r="D148" s="30">
        <f>IF(V148&lt;=calcs!$F$4,'Loan Calculator'!V148,"")</f>
        <v>137</v>
      </c>
      <c r="E148" s="27" cm="1">
        <f t="array" ref="E148">_xlfn.IFS(F148="","",G147&lt;F147,G147*calcs!$H$3,$D$8&lt;=0,$M$3-F148,$D$8&gt;0,$M$3-F148+$D$8,G147&lt;F147,G148*calcs!$H$3)</f>
        <v>1211.2652519867611</v>
      </c>
      <c r="F148" s="27" cm="1">
        <f t="array" ref="F148">_xlfn.IFS(F147="","",G147=0,"",G147&lt;1,"",G147&lt;F147,G147,AND(G147&gt;0,$D$8&gt;0),$D$8+($M$3-(G147*calcs!$H$3)),G147&gt;0,$M$3-(G147*calcs!$H$3))</f>
        <v>451.99098596119552</v>
      </c>
      <c r="G148" s="27" cm="1">
        <f t="array" ref="G148">_xlfn.IFS(F148="","",G147-F148&lt;1,0,ISBLANK(F148)=TRUE,"",G147-F148&gt;1,G147-F148)</f>
        <v>207193.48078319785</v>
      </c>
      <c r="H148" s="31">
        <f t="shared" si="3"/>
        <v>227866.10459887004</v>
      </c>
      <c r="I148" s="2" t="str" cm="1">
        <f t="array" ref="I148">_xlfn.IFS(OR(D148="",E148="",F148=""),"",MOD(D148,12)&lt;&gt;0,"",MOD(D148,12)=0,"Year End"&amp;" "&amp;D148/12)</f>
        <v/>
      </c>
      <c r="V148">
        <v>137</v>
      </c>
    </row>
    <row r="149" spans="4:22">
      <c r="D149" s="32">
        <f>IF(V149&lt;=calcs!$F$4,'Loan Calculator'!V149,"")</f>
        <v>138</v>
      </c>
      <c r="E149" s="29" cm="1">
        <f t="array" ref="E149">_xlfn.IFS(F149="","",G148&lt;F148,G148*calcs!$H$3,$D$8&lt;=0,$M$3-F149,$D$8&gt;0,$M$3-F149+$D$8,G148&lt;F148,G149*calcs!$H$3)</f>
        <v>1208.6286379019875</v>
      </c>
      <c r="F149" s="29" cm="1">
        <f t="array" ref="F149">_xlfn.IFS(F148="","",G148=0,"",G148&lt;1,"",G148&lt;F148,G148,AND(G148&gt;0,$D$8&gt;0),$D$8+($M$3-(G148*calcs!$H$3)),G148&gt;0,$M$3-(G148*calcs!$H$3))</f>
        <v>454.62760004596907</v>
      </c>
      <c r="G149" s="29" cm="1">
        <f t="array" ref="G149">_xlfn.IFS(F149="","",G148-F149&lt;1,0,ISBLANK(F149)=TRUE,"",G148-F149&gt;1,G148-F149)</f>
        <v>206738.85318315189</v>
      </c>
      <c r="H149" s="33">
        <f t="shared" si="3"/>
        <v>229529.36083681797</v>
      </c>
      <c r="I149" s="2" t="str" cm="1">
        <f t="array" ref="I149">_xlfn.IFS(OR(D149="",E149="",F149=""),"",MOD(D149,12)&lt;&gt;0,"",MOD(D149,12)=0,"Year End"&amp;" "&amp;D149/12)</f>
        <v/>
      </c>
      <c r="V149">
        <v>138</v>
      </c>
    </row>
    <row r="150" spans="4:22">
      <c r="D150" s="30">
        <f>IF(V150&lt;=calcs!$F$4,'Loan Calculator'!V150,"")</f>
        <v>139</v>
      </c>
      <c r="E150" s="27" cm="1">
        <f t="array" ref="E150">_xlfn.IFS(F150="","",G149&lt;F149,G149*calcs!$H$3,$D$8&lt;=0,$M$3-F150,$D$8&gt;0,$M$3-F150+$D$8,G149&lt;F149,G150*calcs!$H$3)</f>
        <v>1205.9766435683862</v>
      </c>
      <c r="F150" s="27" cm="1">
        <f t="array" ref="F150">_xlfn.IFS(F149="","",G149=0,"",G149&lt;1,"",G149&lt;F149,G149,AND(G149&gt;0,$D$8&gt;0),$D$8+($M$3-(G149*calcs!$H$3)),G149&gt;0,$M$3-(G149*calcs!$H$3))</f>
        <v>457.27959437957043</v>
      </c>
      <c r="G150" s="27" cm="1">
        <f t="array" ref="G150">_xlfn.IFS(F150="","",G149-F150&lt;1,0,ISBLANK(F150)=TRUE,"",G149-F150&gt;1,G149-F150)</f>
        <v>206281.57358877233</v>
      </c>
      <c r="H150" s="31">
        <f t="shared" si="3"/>
        <v>231192.61707476593</v>
      </c>
      <c r="I150" s="2" t="str" cm="1">
        <f t="array" ref="I150">_xlfn.IFS(OR(D150="",E150="",F150=""),"",MOD(D150,12)&lt;&gt;0,"",MOD(D150,12)=0,"Year End"&amp;" "&amp;D150/12)</f>
        <v/>
      </c>
      <c r="V150">
        <v>139</v>
      </c>
    </row>
    <row r="151" spans="4:22">
      <c r="D151" s="32">
        <f>IF(V151&lt;=calcs!$F$4,'Loan Calculator'!V151,"")</f>
        <v>140</v>
      </c>
      <c r="E151" s="29" cm="1">
        <f t="array" ref="E151">_xlfn.IFS(F151="","",G150&lt;F150,G150*calcs!$H$3,$D$8&lt;=0,$M$3-F151,$D$8&gt;0,$M$3-F151+$D$8,G150&lt;F150,G151*calcs!$H$3)</f>
        <v>1203.3091792678385</v>
      </c>
      <c r="F151" s="29" cm="1">
        <f t="array" ref="F151">_xlfn.IFS(F150="","",G150=0,"",G150&lt;1,"",G150&lt;F150,G150,AND(G150&gt;0,$D$8&gt;0),$D$8+($M$3-(G150*calcs!$H$3)),G150&gt;0,$M$3-(G150*calcs!$H$3))</f>
        <v>459.94705868011806</v>
      </c>
      <c r="G151" s="29" cm="1">
        <f t="array" ref="G151">_xlfn.IFS(F151="","",G150-F151&lt;1,0,ISBLANK(F151)=TRUE,"",G150-F151&gt;1,G150-F151)</f>
        <v>205821.62653009221</v>
      </c>
      <c r="H151" s="33">
        <f t="shared" si="3"/>
        <v>232855.8733127139</v>
      </c>
      <c r="I151" s="2" t="str" cm="1">
        <f t="array" ref="I151">_xlfn.IFS(OR(D151="",E151="",F151=""),"",MOD(D151,12)&lt;&gt;0,"",MOD(D151,12)=0,"Year End"&amp;" "&amp;D151/12)</f>
        <v/>
      </c>
      <c r="V151">
        <v>140</v>
      </c>
    </row>
    <row r="152" spans="4:22">
      <c r="D152" s="30">
        <f>IF(V152&lt;=calcs!$F$4,'Loan Calculator'!V152,"")</f>
        <v>141</v>
      </c>
      <c r="E152" s="27" cm="1">
        <f t="array" ref="E152">_xlfn.IFS(F152="","",G151&lt;F151,G151*calcs!$H$3,$D$8&lt;=0,$M$3-F152,$D$8&gt;0,$M$3-F152+$D$8,G151&lt;F151,G152*calcs!$H$3)</f>
        <v>1200.6261547588713</v>
      </c>
      <c r="F152" s="27" cm="1">
        <f t="array" ref="F152">_xlfn.IFS(F151="","",G151=0,"",G151&lt;1,"",G151&lt;F151,G151,AND(G151&gt;0,$D$8&gt;0),$D$8+($M$3-(G151*calcs!$H$3)),G151&gt;0,$M$3-(G151*calcs!$H$3))</f>
        <v>462.63008318908533</v>
      </c>
      <c r="G152" s="27" cm="1">
        <f t="array" ref="G152">_xlfn.IFS(F152="","",G151-F152&lt;1,0,ISBLANK(F152)=TRUE,"",G151-F152&gt;1,G151-F152)</f>
        <v>205358.99644690313</v>
      </c>
      <c r="H152" s="31">
        <f t="shared" si="3"/>
        <v>234519.12955066186</v>
      </c>
      <c r="I152" s="2" t="str" cm="1">
        <f t="array" ref="I152">_xlfn.IFS(OR(D152="",E152="",F152=""),"",MOD(D152,12)&lt;&gt;0,"",MOD(D152,12)=0,"Year End"&amp;" "&amp;D152/12)</f>
        <v/>
      </c>
      <c r="V152">
        <v>141</v>
      </c>
    </row>
    <row r="153" spans="4:22">
      <c r="D153" s="32">
        <f>IF(V153&lt;=calcs!$F$4,'Loan Calculator'!V153,"")</f>
        <v>142</v>
      </c>
      <c r="E153" s="29" cm="1">
        <f t="array" ref="E153">_xlfn.IFS(F153="","",G152&lt;F152,G152*calcs!$H$3,$D$8&lt;=0,$M$3-F153,$D$8&gt;0,$M$3-F153+$D$8,G152&lt;F152,G153*calcs!$H$3)</f>
        <v>1197.9274792736016</v>
      </c>
      <c r="F153" s="29" cm="1">
        <f t="array" ref="F153">_xlfn.IFS(F152="","",G152=0,"",G152&lt;1,"",G152&lt;F152,G152,AND(G152&gt;0,$D$8&gt;0),$D$8+($M$3-(G152*calcs!$H$3)),G152&gt;0,$M$3-(G152*calcs!$H$3))</f>
        <v>465.32875867435496</v>
      </c>
      <c r="G153" s="29" cm="1">
        <f t="array" ref="G153">_xlfn.IFS(F153="","",G152-F153&lt;1,0,ISBLANK(F153)=TRUE,"",G152-F153&gt;1,G152-F153)</f>
        <v>204893.66768822877</v>
      </c>
      <c r="H153" s="33">
        <f t="shared" si="3"/>
        <v>236182.38578860983</v>
      </c>
      <c r="I153" s="2" t="str" cm="1">
        <f t="array" ref="I153">_xlfn.IFS(OR(D153="",E153="",F153=""),"",MOD(D153,12)&lt;&gt;0,"",MOD(D153,12)=0,"Year End"&amp;" "&amp;D153/12)</f>
        <v/>
      </c>
      <c r="V153">
        <v>142</v>
      </c>
    </row>
    <row r="154" spans="4:22">
      <c r="D154" s="30">
        <f>IF(V154&lt;=calcs!$F$4,'Loan Calculator'!V154,"")</f>
        <v>143</v>
      </c>
      <c r="E154" s="27" cm="1">
        <f t="array" ref="E154">_xlfn.IFS(F154="","",G153&lt;F153,G153*calcs!$H$3,$D$8&lt;=0,$M$3-F154,$D$8&gt;0,$M$3-F154+$D$8,G153&lt;F153,G154*calcs!$H$3)</f>
        <v>1195.213061514668</v>
      </c>
      <c r="F154" s="27" cm="1">
        <f t="array" ref="F154">_xlfn.IFS(F153="","",G153=0,"",G153&lt;1,"",G153&lt;F153,G153,AND(G153&gt;0,$D$8&gt;0),$D$8+($M$3-(G153*calcs!$H$3)),G153&gt;0,$M$3-(G153*calcs!$H$3))</f>
        <v>468.04317643328864</v>
      </c>
      <c r="G154" s="27" cm="1">
        <f t="array" ref="G154">_xlfn.IFS(F154="","",G153-F154&lt;1,0,ISBLANK(F154)=TRUE,"",G153-F154&gt;1,G153-F154)</f>
        <v>204425.6245117955</v>
      </c>
      <c r="H154" s="31">
        <f t="shared" si="3"/>
        <v>237845.64202655776</v>
      </c>
      <c r="I154" s="2" t="str" cm="1">
        <f t="array" ref="I154">_xlfn.IFS(OR(D154="",E154="",F154=""),"",MOD(D154,12)&lt;&gt;0,"",MOD(D154,12)=0,"Year End"&amp;" "&amp;D154/12)</f>
        <v/>
      </c>
      <c r="V154">
        <v>143</v>
      </c>
    </row>
    <row r="155" spans="4:22">
      <c r="D155" s="32">
        <f>IF(V155&lt;=calcs!$F$4,'Loan Calculator'!V155,"")</f>
        <v>144</v>
      </c>
      <c r="E155" s="29" cm="1">
        <f t="array" ref="E155">_xlfn.IFS(F155="","",G154&lt;F154,G154*calcs!$H$3,$D$8&lt;=0,$M$3-F155,$D$8&gt;0,$M$3-F155+$D$8,G154&lt;F154,G155*calcs!$H$3)</f>
        <v>1192.4828096521405</v>
      </c>
      <c r="F155" s="29" cm="1">
        <f t="array" ref="F155">_xlfn.IFS(F154="","",G154=0,"",G154&lt;1,"",G154&lt;F154,G154,AND(G154&gt;0,$D$8&gt;0),$D$8+($M$3-(G154*calcs!$H$3)),G154&gt;0,$M$3-(G154*calcs!$H$3))</f>
        <v>470.77342829581607</v>
      </c>
      <c r="G155" s="29" cm="1">
        <f t="array" ref="G155">_xlfn.IFS(F155="","",G154-F155&lt;1,0,ISBLANK(F155)=TRUE,"",G154-F155&gt;1,G154-F155)</f>
        <v>203954.85108349967</v>
      </c>
      <c r="H155" s="33">
        <f t="shared" si="3"/>
        <v>239508.89826450573</v>
      </c>
      <c r="I155" s="2" t="str" cm="1">
        <f t="array" ref="I155">_xlfn.IFS(OR(D155="",E155="",F155=""),"",MOD(D155,12)&lt;&gt;0,"",MOD(D155,12)=0,"Year End"&amp;" "&amp;D155/12)</f>
        <v>Year End 12</v>
      </c>
      <c r="V155">
        <v>144</v>
      </c>
    </row>
    <row r="156" spans="4:22">
      <c r="D156" s="30">
        <f>IF(V156&lt;=calcs!$F$4,'Loan Calculator'!V156,"")</f>
        <v>145</v>
      </c>
      <c r="E156" s="27" cm="1">
        <f t="array" ref="E156">_xlfn.IFS(F156="","",G155&lt;F155,G155*calcs!$H$3,$D$8&lt;=0,$M$3-F156,$D$8&gt;0,$M$3-F156+$D$8,G155&lt;F155,G156*calcs!$H$3)</f>
        <v>1189.7366313204147</v>
      </c>
      <c r="F156" s="27" cm="1">
        <f t="array" ref="F156">_xlfn.IFS(F155="","",G155=0,"",G155&lt;1,"",G155&lt;F155,G155,AND(G155&gt;0,$D$8&gt;0),$D$8+($M$3-(G155*calcs!$H$3)),G155&gt;0,$M$3-(G155*calcs!$H$3))</f>
        <v>473.51960662754186</v>
      </c>
      <c r="G156" s="27" cm="1">
        <f t="array" ref="G156">_xlfn.IFS(F156="","",G155-F156&lt;1,0,ISBLANK(F156)=TRUE,"",G155-F156&gt;1,G155-F156)</f>
        <v>203481.33147687212</v>
      </c>
      <c r="H156" s="31">
        <f t="shared" si="3"/>
        <v>241172.15450245369</v>
      </c>
      <c r="I156" s="2" t="str" cm="1">
        <f t="array" ref="I156">_xlfn.IFS(OR(D156="",E156="",F156=""),"",MOD(D156,12)&lt;&gt;0,"",MOD(D156,12)=0,"Year End"&amp;" "&amp;D156/12)</f>
        <v/>
      </c>
      <c r="V156">
        <v>145</v>
      </c>
    </row>
    <row r="157" spans="4:22">
      <c r="D157" s="32">
        <f>IF(V157&lt;=calcs!$F$4,'Loan Calculator'!V157,"")</f>
        <v>146</v>
      </c>
      <c r="E157" s="29" cm="1">
        <f t="array" ref="E157">_xlfn.IFS(F157="","",G156&lt;F156,G156*calcs!$H$3,$D$8&lt;=0,$M$3-F157,$D$8&gt;0,$M$3-F157+$D$8,G156&lt;F156,G157*calcs!$H$3)</f>
        <v>1186.9744336150875</v>
      </c>
      <c r="F157" s="29" cm="1">
        <f t="array" ref="F157">_xlfn.IFS(F156="","",G156=0,"",G156&lt;1,"",G156&lt;F156,G156,AND(G156&gt;0,$D$8&gt;0),$D$8+($M$3-(G156*calcs!$H$3)),G156&gt;0,$M$3-(G156*calcs!$H$3))</f>
        <v>476.28180433286911</v>
      </c>
      <c r="G157" s="29" cm="1">
        <f t="array" ref="G157">_xlfn.IFS(F157="","",G156-F157&lt;1,0,ISBLANK(F157)=TRUE,"",G156-F157&gt;1,G156-F157)</f>
        <v>203005.04967253926</v>
      </c>
      <c r="H157" s="33">
        <f t="shared" si="3"/>
        <v>242835.41074040162</v>
      </c>
      <c r="I157" s="2" t="str" cm="1">
        <f t="array" ref="I157">_xlfn.IFS(OR(D157="",E157="",F157=""),"",MOD(D157,12)&lt;&gt;0,"",MOD(D157,12)=0,"Year End"&amp;" "&amp;D157/12)</f>
        <v/>
      </c>
      <c r="V157">
        <v>146</v>
      </c>
    </row>
    <row r="158" spans="4:22">
      <c r="D158" s="30">
        <f>IF(V158&lt;=calcs!$F$4,'Loan Calculator'!V158,"")</f>
        <v>147</v>
      </c>
      <c r="E158" s="27" cm="1">
        <f t="array" ref="E158">_xlfn.IFS(F158="","",G157&lt;F157,G157*calcs!$H$3,$D$8&lt;=0,$M$3-F158,$D$8&gt;0,$M$3-F158+$D$8,G157&lt;F157,G158*calcs!$H$3)</f>
        <v>1184.1961230898123</v>
      </c>
      <c r="F158" s="27" cm="1">
        <f t="array" ref="F158">_xlfn.IFS(F157="","",G157=0,"",G157&lt;1,"",G157&lt;F157,G157,AND(G157&gt;0,$D$8&gt;0),$D$8+($M$3-(G157*calcs!$H$3)),G157&gt;0,$M$3-(G157*calcs!$H$3))</f>
        <v>479.06011485814429</v>
      </c>
      <c r="G158" s="27" cm="1">
        <f t="array" ref="G158">_xlfn.IFS(F158="","",G157-F158&lt;1,0,ISBLANK(F158)=TRUE,"",G157-F158&gt;1,G157-F158)</f>
        <v>202525.98955768111</v>
      </c>
      <c r="H158" s="31">
        <f t="shared" si="3"/>
        <v>244498.66697834959</v>
      </c>
      <c r="I158" s="2" t="str" cm="1">
        <f t="array" ref="I158">_xlfn.IFS(OR(D158="",E158="",F158=""),"",MOD(D158,12)&lt;&gt;0,"",MOD(D158,12)=0,"Year End"&amp;" "&amp;D158/12)</f>
        <v/>
      </c>
      <c r="V158">
        <v>147</v>
      </c>
    </row>
    <row r="159" spans="4:22">
      <c r="D159" s="32">
        <f>IF(V159&lt;=calcs!$F$4,'Loan Calculator'!V159,"")</f>
        <v>148</v>
      </c>
      <c r="E159" s="29" cm="1">
        <f t="array" ref="E159">_xlfn.IFS(F159="","",G158&lt;F158,G158*calcs!$H$3,$D$8&lt;=0,$M$3-F159,$D$8&gt;0,$M$3-F159+$D$8,G158&lt;F158,G159*calcs!$H$3)</f>
        <v>1181.4016057531398</v>
      </c>
      <c r="F159" s="29" cm="1">
        <f t="array" ref="F159">_xlfn.IFS(F158="","",G158=0,"",G158&lt;1,"",G158&lt;F158,G158,AND(G158&gt;0,$D$8&gt;0),$D$8+($M$3-(G158*calcs!$H$3)),G158&gt;0,$M$3-(G158*calcs!$H$3))</f>
        <v>481.85463219481676</v>
      </c>
      <c r="G159" s="29" cm="1">
        <f t="array" ref="G159">_xlfn.IFS(F159="","",G158-F159&lt;1,0,ISBLANK(F159)=TRUE,"",G158-F159&gt;1,G158-F159)</f>
        <v>202044.13492548629</v>
      </c>
      <c r="H159" s="33">
        <f t="shared" si="3"/>
        <v>246161.92321629755</v>
      </c>
      <c r="I159" s="2" t="str" cm="1">
        <f t="array" ref="I159">_xlfn.IFS(OR(D159="",E159="",F159=""),"",MOD(D159,12)&lt;&gt;0,"",MOD(D159,12)=0,"Year End"&amp;" "&amp;D159/12)</f>
        <v/>
      </c>
      <c r="V159">
        <v>148</v>
      </c>
    </row>
    <row r="160" spans="4:22">
      <c r="D160" s="30">
        <f>IF(V160&lt;=calcs!$F$4,'Loan Calculator'!V160,"")</f>
        <v>149</v>
      </c>
      <c r="E160" s="27" cm="1">
        <f t="array" ref="E160">_xlfn.IFS(F160="","",G159&lt;F159,G159*calcs!$H$3,$D$8&lt;=0,$M$3-F160,$D$8&gt;0,$M$3-F160+$D$8,G159&lt;F159,G160*calcs!$H$3)</f>
        <v>1178.5907870653368</v>
      </c>
      <c r="F160" s="27" cm="1">
        <f t="array" ref="F160">_xlfn.IFS(F159="","",G159=0,"",G159&lt;1,"",G159&lt;F159,G159,AND(G159&gt;0,$D$8&gt;0),$D$8+($M$3-(G159*calcs!$H$3)),G159&gt;0,$M$3-(G159*calcs!$H$3))</f>
        <v>484.66545088261978</v>
      </c>
      <c r="G160" s="27" cm="1">
        <f t="array" ref="G160">_xlfn.IFS(F160="","",G159-F160&lt;1,0,ISBLANK(F160)=TRUE,"",G159-F160&gt;1,G159-F160)</f>
        <v>201559.46947460365</v>
      </c>
      <c r="H160" s="31">
        <f t="shared" si="3"/>
        <v>247825.17945424552</v>
      </c>
      <c r="I160" s="2" t="str" cm="1">
        <f t="array" ref="I160">_xlfn.IFS(OR(D160="",E160="",F160=""),"",MOD(D160,12)&lt;&gt;0,"",MOD(D160,12)=0,"Year End"&amp;" "&amp;D160/12)</f>
        <v/>
      </c>
      <c r="V160">
        <v>149</v>
      </c>
    </row>
    <row r="161" spans="4:22">
      <c r="D161" s="32">
        <f>IF(V161&lt;=calcs!$F$4,'Loan Calculator'!V161,"")</f>
        <v>150</v>
      </c>
      <c r="E161" s="29" cm="1">
        <f t="array" ref="E161">_xlfn.IFS(F161="","",G160&lt;F160,G160*calcs!$H$3,$D$8&lt;=0,$M$3-F161,$D$8&gt;0,$M$3-F161+$D$8,G160&lt;F160,G161*calcs!$H$3)</f>
        <v>1175.7635719351881</v>
      </c>
      <c r="F161" s="29" cm="1">
        <f t="array" ref="F161">_xlfn.IFS(F160="","",G160=0,"",G160&lt;1,"",G160&lt;F160,G160,AND(G160&gt;0,$D$8&gt;0),$D$8+($M$3-(G160*calcs!$H$3)),G160&gt;0,$M$3-(G160*calcs!$H$3))</f>
        <v>487.4926660127685</v>
      </c>
      <c r="G161" s="29" cm="1">
        <f t="array" ref="G161">_xlfn.IFS(F161="","",G160-F161&lt;1,0,ISBLANK(F161)=TRUE,"",G160-F161&gt;1,G160-F161)</f>
        <v>201071.97680859087</v>
      </c>
      <c r="H161" s="33">
        <f t="shared" si="3"/>
        <v>249488.43569219348</v>
      </c>
      <c r="I161" s="2" t="str" cm="1">
        <f t="array" ref="I161">_xlfn.IFS(OR(D161="",E161="",F161=""),"",MOD(D161,12)&lt;&gt;0,"",MOD(D161,12)=0,"Year End"&amp;" "&amp;D161/12)</f>
        <v/>
      </c>
      <c r="V161">
        <v>150</v>
      </c>
    </row>
    <row r="162" spans="4:22">
      <c r="D162" s="30">
        <f>IF(V162&lt;=calcs!$F$4,'Loan Calculator'!V162,"")</f>
        <v>151</v>
      </c>
      <c r="E162" s="27" cm="1">
        <f t="array" ref="E162">_xlfn.IFS(F162="","",G161&lt;F161,G161*calcs!$H$3,$D$8&lt;=0,$M$3-F162,$D$8&gt;0,$M$3-F162+$D$8,G161&lt;F161,G162*calcs!$H$3)</f>
        <v>1172.9198647167802</v>
      </c>
      <c r="F162" s="27" cm="1">
        <f t="array" ref="F162">_xlfn.IFS(F161="","",G161=0,"",G161&lt;1,"",G161&lt;F161,G161,AND(G161&gt;0,$D$8&gt;0),$D$8+($M$3-(G161*calcs!$H$3)),G161&gt;0,$M$3-(G161*calcs!$H$3))</f>
        <v>490.33637323117637</v>
      </c>
      <c r="G162" s="27" cm="1">
        <f t="array" ref="G162">_xlfn.IFS(F162="","",G161-F162&lt;1,0,ISBLANK(F162)=TRUE,"",G161-F162&gt;1,G161-F162)</f>
        <v>200581.6404353597</v>
      </c>
      <c r="H162" s="31">
        <f t="shared" si="3"/>
        <v>251151.69193014145</v>
      </c>
      <c r="I162" s="2" t="str" cm="1">
        <f t="array" ref="I162">_xlfn.IFS(OR(D162="",E162="",F162=""),"",MOD(D162,12)&lt;&gt;0,"",MOD(D162,12)=0,"Year End"&amp;" "&amp;D162/12)</f>
        <v/>
      </c>
      <c r="V162">
        <v>151</v>
      </c>
    </row>
    <row r="163" spans="4:22">
      <c r="D163" s="32">
        <f>IF(V163&lt;=calcs!$F$4,'Loan Calculator'!V163,"")</f>
        <v>152</v>
      </c>
      <c r="E163" s="29" cm="1">
        <f t="array" ref="E163">_xlfn.IFS(F163="","",G162&lt;F162,G162*calcs!$H$3,$D$8&lt;=0,$M$3-F163,$D$8&gt;0,$M$3-F163+$D$8,G162&lt;F162,G163*calcs!$H$3)</f>
        <v>1170.059569206265</v>
      </c>
      <c r="F163" s="29" cm="1">
        <f t="array" ref="F163">_xlfn.IFS(F162="","",G162=0,"",G162&lt;1,"",G162&lt;F162,G162,AND(G162&gt;0,$D$8&gt;0),$D$8+($M$3-(G162*calcs!$H$3)),G162&gt;0,$M$3-(G162*calcs!$H$3))</f>
        <v>493.19666874169161</v>
      </c>
      <c r="G163" s="29" cm="1">
        <f t="array" ref="G163">_xlfn.IFS(F163="","",G162-F163&lt;1,0,ISBLANK(F163)=TRUE,"",G162-F163&gt;1,G162-F163)</f>
        <v>200088.443766618</v>
      </c>
      <c r="H163" s="33">
        <f t="shared" si="3"/>
        <v>252814.94816808941</v>
      </c>
      <c r="I163" s="2" t="str" cm="1">
        <f t="array" ref="I163">_xlfn.IFS(OR(D163="",E163="",F163=""),"",MOD(D163,12)&lt;&gt;0,"",MOD(D163,12)=0,"Year End"&amp;" "&amp;D163/12)</f>
        <v/>
      </c>
      <c r="V163">
        <v>152</v>
      </c>
    </row>
    <row r="164" spans="4:22">
      <c r="D164" s="30">
        <f>IF(V164&lt;=calcs!$F$4,'Loan Calculator'!V164,"")</f>
        <v>153</v>
      </c>
      <c r="E164" s="27" cm="1">
        <f t="array" ref="E164">_xlfn.IFS(F164="","",G163&lt;F163,G163*calcs!$H$3,$D$8&lt;=0,$M$3-F164,$D$8&gt;0,$M$3-F164+$D$8,G163&lt;F163,G164*calcs!$H$3)</f>
        <v>1167.182588638605</v>
      </c>
      <c r="F164" s="27" cm="1">
        <f t="array" ref="F164">_xlfn.IFS(F163="","",G163=0,"",G163&lt;1,"",G163&lt;F163,G163,AND(G163&gt;0,$D$8&gt;0),$D$8+($M$3-(G163*calcs!$H$3)),G163&gt;0,$M$3-(G163*calcs!$H$3))</f>
        <v>496.07364930935159</v>
      </c>
      <c r="G164" s="27" cm="1">
        <f t="array" ref="G164">_xlfn.IFS(F164="","",G163-F164&lt;1,0,ISBLANK(F164)=TRUE,"",G163-F164&gt;1,G163-F164)</f>
        <v>199592.37011730866</v>
      </c>
      <c r="H164" s="31">
        <f t="shared" si="3"/>
        <v>254478.20440603734</v>
      </c>
      <c r="I164" s="2" t="str" cm="1">
        <f t="array" ref="I164">_xlfn.IFS(OR(D164="",E164="",F164=""),"",MOD(D164,12)&lt;&gt;0,"",MOD(D164,12)=0,"Year End"&amp;" "&amp;D164/12)</f>
        <v/>
      </c>
      <c r="V164">
        <v>153</v>
      </c>
    </row>
    <row r="165" spans="4:22">
      <c r="D165" s="32">
        <f>IF(V165&lt;=calcs!$F$4,'Loan Calculator'!V165,"")</f>
        <v>154</v>
      </c>
      <c r="E165" s="29" cm="1">
        <f t="array" ref="E165">_xlfn.IFS(F165="","",G164&lt;F164,G164*calcs!$H$3,$D$8&lt;=0,$M$3-F165,$D$8&gt;0,$M$3-F165+$D$8,G164&lt;F164,G165*calcs!$H$3)</f>
        <v>1164.2888256843005</v>
      </c>
      <c r="F165" s="29" cm="1">
        <f t="array" ref="F165">_xlfn.IFS(F164="","",G164=0,"",G164&lt;1,"",G164&lt;F164,G164,AND(G164&gt;0,$D$8&gt;0),$D$8+($M$3-(G164*calcs!$H$3)),G164&gt;0,$M$3-(G164*calcs!$H$3))</f>
        <v>498.96741226365612</v>
      </c>
      <c r="G165" s="29" cm="1">
        <f t="array" ref="G165">_xlfn.IFS(F165="","",G164-F165&lt;1,0,ISBLANK(F165)=TRUE,"",G164-F165&gt;1,G164-F165)</f>
        <v>199093.40270504501</v>
      </c>
      <c r="H165" s="33">
        <f t="shared" si="3"/>
        <v>256141.46064398531</v>
      </c>
      <c r="I165" s="2" t="str" cm="1">
        <f t="array" ref="I165">_xlfn.IFS(OR(D165="",E165="",F165=""),"",MOD(D165,12)&lt;&gt;0,"",MOD(D165,12)=0,"Year End"&amp;" "&amp;D165/12)</f>
        <v/>
      </c>
      <c r="V165">
        <v>154</v>
      </c>
    </row>
    <row r="166" spans="4:22">
      <c r="D166" s="30">
        <f>IF(V166&lt;=calcs!$F$4,'Loan Calculator'!V166,"")</f>
        <v>155</v>
      </c>
      <c r="E166" s="27" cm="1">
        <f t="array" ref="E166">_xlfn.IFS(F166="","",G165&lt;F165,G165*calcs!$H$3,$D$8&lt;=0,$M$3-F166,$D$8&gt;0,$M$3-F166+$D$8,G165&lt;F165,G166*calcs!$H$3)</f>
        <v>1161.3781824460959</v>
      </c>
      <c r="F166" s="27" cm="1">
        <f t="array" ref="F166">_xlfn.IFS(F165="","",G165=0,"",G165&lt;1,"",G165&lt;F165,G165,AND(G165&gt;0,$D$8&gt;0),$D$8+($M$3-(G165*calcs!$H$3)),G165&gt;0,$M$3-(G165*calcs!$H$3))</f>
        <v>501.87805550186067</v>
      </c>
      <c r="G166" s="27" cm="1">
        <f t="array" ref="G166">_xlfn.IFS(F166="","",G165-F166&lt;1,0,ISBLANK(F166)=TRUE,"",G165-F166&gt;1,G165-F166)</f>
        <v>198591.52464954313</v>
      </c>
      <c r="H166" s="31">
        <f t="shared" si="3"/>
        <v>257804.71688193327</v>
      </c>
      <c r="I166" s="2" t="str" cm="1">
        <f t="array" ref="I166">_xlfn.IFS(OR(D166="",E166="",F166=""),"",MOD(D166,12)&lt;&gt;0,"",MOD(D166,12)=0,"Year End"&amp;" "&amp;D166/12)</f>
        <v/>
      </c>
      <c r="V166">
        <v>155</v>
      </c>
    </row>
    <row r="167" spans="4:22">
      <c r="D167" s="32">
        <f>IF(V167&lt;=calcs!$F$4,'Loan Calculator'!V167,"")</f>
        <v>156</v>
      </c>
      <c r="E167" s="29" cm="1">
        <f t="array" ref="E167">_xlfn.IFS(F167="","",G166&lt;F166,G166*calcs!$H$3,$D$8&lt;=0,$M$3-F167,$D$8&gt;0,$M$3-F167+$D$8,G166&lt;F166,G167*calcs!$H$3)</f>
        <v>1158.4505604556684</v>
      </c>
      <c r="F167" s="29" cm="1">
        <f t="array" ref="F167">_xlfn.IFS(F166="","",G166=0,"",G166&lt;1,"",G166&lt;F166,G166,AND(G166&gt;0,$D$8&gt;0),$D$8+($M$3-(G166*calcs!$H$3)),G166&gt;0,$M$3-(G166*calcs!$H$3))</f>
        <v>504.80567749228817</v>
      </c>
      <c r="G167" s="29" cm="1">
        <f t="array" ref="G167">_xlfn.IFS(F167="","",G166-F167&lt;1,0,ISBLANK(F167)=TRUE,"",G166-F167&gt;1,G166-F167)</f>
        <v>198086.71897205085</v>
      </c>
      <c r="H167" s="33">
        <f t="shared" si="3"/>
        <v>259467.97311988124</v>
      </c>
      <c r="I167" s="2" t="str" cm="1">
        <f t="array" ref="I167">_xlfn.IFS(OR(D167="",E167="",F167=""),"",MOD(D167,12)&lt;&gt;0,"",MOD(D167,12)=0,"Year End"&amp;" "&amp;D167/12)</f>
        <v>Year End 13</v>
      </c>
      <c r="V167">
        <v>156</v>
      </c>
    </row>
    <row r="168" spans="4:22">
      <c r="D168" s="30">
        <f>IF(V168&lt;=calcs!$F$4,'Loan Calculator'!V168,"")</f>
        <v>157</v>
      </c>
      <c r="E168" s="27" cm="1">
        <f t="array" ref="E168">_xlfn.IFS(F168="","",G167&lt;F167,G167*calcs!$H$3,$D$8&lt;=0,$M$3-F168,$D$8&gt;0,$M$3-F168+$D$8,G167&lt;F167,G168*calcs!$H$3)</f>
        <v>1155.5058606702967</v>
      </c>
      <c r="F168" s="27" cm="1">
        <f t="array" ref="F168">_xlfn.IFS(F167="","",G167=0,"",G167&lt;1,"",G167&lt;F167,G167,AND(G167&gt;0,$D$8&gt;0),$D$8+($M$3-(G167*calcs!$H$3)),G167&gt;0,$M$3-(G167*calcs!$H$3))</f>
        <v>507.75037727765994</v>
      </c>
      <c r="G168" s="27" cm="1">
        <f t="array" ref="G168">_xlfn.IFS(F168="","",G167-F168&lt;1,0,ISBLANK(F168)=TRUE,"",G167-F168&gt;1,G167-F168)</f>
        <v>197578.96859477318</v>
      </c>
      <c r="H168" s="31">
        <f t="shared" si="3"/>
        <v>261131.2293578292</v>
      </c>
      <c r="I168" s="2" t="str" cm="1">
        <f t="array" ref="I168">_xlfn.IFS(OR(D168="",E168="",F168=""),"",MOD(D168,12)&lt;&gt;0,"",MOD(D168,12)=0,"Year End"&amp;" "&amp;D168/12)</f>
        <v/>
      </c>
      <c r="V168">
        <v>157</v>
      </c>
    </row>
    <row r="169" spans="4:22">
      <c r="D169" s="32">
        <f>IF(V169&lt;=calcs!$F$4,'Loan Calculator'!V169,"")</f>
        <v>158</v>
      </c>
      <c r="E169" s="29" cm="1">
        <f t="array" ref="E169">_xlfn.IFS(F169="","",G168&lt;F168,G168*calcs!$H$3,$D$8&lt;=0,$M$3-F169,$D$8&gt;0,$M$3-F169+$D$8,G168&lt;F168,G169*calcs!$H$3)</f>
        <v>1152.5439834695103</v>
      </c>
      <c r="F169" s="29" cm="1">
        <f t="array" ref="F169">_xlfn.IFS(F168="","",G168=0,"",G168&lt;1,"",G168&lt;F168,G168,AND(G168&gt;0,$D$8&gt;0),$D$8+($M$3-(G168*calcs!$H$3)),G168&gt;0,$M$3-(G168*calcs!$H$3))</f>
        <v>510.71225447844631</v>
      </c>
      <c r="G169" s="29" cm="1">
        <f t="array" ref="G169">_xlfn.IFS(F169="","",G168-F169&lt;1,0,ISBLANK(F169)=TRUE,"",G168-F169&gt;1,G168-F169)</f>
        <v>197068.25634029473</v>
      </c>
      <c r="H169" s="33">
        <f t="shared" si="3"/>
        <v>262794.48559577711</v>
      </c>
      <c r="I169" s="2" t="str" cm="1">
        <f t="array" ref="I169">_xlfn.IFS(OR(D169="",E169="",F169=""),"",MOD(D169,12)&lt;&gt;0,"",MOD(D169,12)=0,"Year End"&amp;" "&amp;D169/12)</f>
        <v/>
      </c>
      <c r="V169">
        <v>158</v>
      </c>
    </row>
    <row r="170" spans="4:22">
      <c r="D170" s="30">
        <f>IF(V170&lt;=calcs!$F$4,'Loan Calculator'!V170,"")</f>
        <v>159</v>
      </c>
      <c r="E170" s="27" cm="1">
        <f t="array" ref="E170">_xlfn.IFS(F170="","",G169&lt;F169,G169*calcs!$H$3,$D$8&lt;=0,$M$3-F170,$D$8&gt;0,$M$3-F170+$D$8,G169&lt;F169,G170*calcs!$H$3)</f>
        <v>1149.5648286517194</v>
      </c>
      <c r="F170" s="27" cm="1">
        <f t="array" ref="F170">_xlfn.IFS(F169="","",G169=0,"",G169&lt;1,"",G169&lt;F169,G169,AND(G169&gt;0,$D$8&gt;0),$D$8+($M$3-(G169*calcs!$H$3)),G169&gt;0,$M$3-(G169*calcs!$H$3))</f>
        <v>513.69140929623723</v>
      </c>
      <c r="G170" s="27" cm="1">
        <f t="array" ref="G170">_xlfn.IFS(F170="","",G169-F170&lt;1,0,ISBLANK(F170)=TRUE,"",G169-F170&gt;1,G169-F170)</f>
        <v>196554.56493099849</v>
      </c>
      <c r="H170" s="31">
        <f t="shared" si="3"/>
        <v>264457.74183372507</v>
      </c>
      <c r="I170" s="2" t="str" cm="1">
        <f t="array" ref="I170">_xlfn.IFS(OR(D170="",E170="",F170=""),"",MOD(D170,12)&lt;&gt;0,"",MOD(D170,12)=0,"Year End"&amp;" "&amp;D170/12)</f>
        <v/>
      </c>
      <c r="V170">
        <v>159</v>
      </c>
    </row>
    <row r="171" spans="4:22">
      <c r="D171" s="32">
        <f>IF(V171&lt;=calcs!$F$4,'Loan Calculator'!V171,"")</f>
        <v>160</v>
      </c>
      <c r="E171" s="29" cm="1">
        <f t="array" ref="E171">_xlfn.IFS(F171="","",G170&lt;F170,G170*calcs!$H$3,$D$8&lt;=0,$M$3-F171,$D$8&gt;0,$M$3-F171+$D$8,G170&lt;F170,G171*calcs!$H$3)</f>
        <v>1146.5682954308245</v>
      </c>
      <c r="F171" s="29" cm="1">
        <f t="array" ref="F171">_xlfn.IFS(F170="","",G170=0,"",G170&lt;1,"",G170&lt;F170,G170,AND(G170&gt;0,$D$8&gt;0),$D$8+($M$3-(G170*calcs!$H$3)),G170&gt;0,$M$3-(G170*calcs!$H$3))</f>
        <v>516.68794251713211</v>
      </c>
      <c r="G171" s="29" cm="1">
        <f t="array" ref="G171">_xlfn.IFS(F171="","",G170-F171&lt;1,0,ISBLANK(F171)=TRUE,"",G170-F171&gt;1,G170-F171)</f>
        <v>196037.87698848135</v>
      </c>
      <c r="H171" s="33">
        <f t="shared" si="3"/>
        <v>266120.99807167298</v>
      </c>
      <c r="I171" s="2" t="str" cm="1">
        <f t="array" ref="I171">_xlfn.IFS(OR(D171="",E171="",F171=""),"",MOD(D171,12)&lt;&gt;0,"",MOD(D171,12)=0,"Year End"&amp;" "&amp;D171/12)</f>
        <v/>
      </c>
      <c r="V171">
        <v>160</v>
      </c>
    </row>
    <row r="172" spans="4:22">
      <c r="D172" s="30">
        <f>IF(V172&lt;=calcs!$F$4,'Loan Calculator'!V172,"")</f>
        <v>161</v>
      </c>
      <c r="E172" s="27" cm="1">
        <f t="array" ref="E172">_xlfn.IFS(F172="","",G171&lt;F171,G171*calcs!$H$3,$D$8&lt;=0,$M$3-F172,$D$8&gt;0,$M$3-F172+$D$8,G171&lt;F171,G172*calcs!$H$3)</f>
        <v>1143.5542824328079</v>
      </c>
      <c r="F172" s="27" cm="1">
        <f t="array" ref="F172">_xlfn.IFS(F171="","",G171=0,"",G171&lt;1,"",G171&lt;F171,G171,AND(G171&gt;0,$D$8&gt;0),$D$8+($M$3-(G171*calcs!$H$3)),G171&gt;0,$M$3-(G171*calcs!$H$3))</f>
        <v>519.70195551514871</v>
      </c>
      <c r="G172" s="27" cm="1">
        <f t="array" ref="G172">_xlfn.IFS(F172="","",G171-F172&lt;1,0,ISBLANK(F172)=TRUE,"",G171-F172&gt;1,G171-F172)</f>
        <v>195518.17503296622</v>
      </c>
      <c r="H172" s="31">
        <f t="shared" si="3"/>
        <v>267784.25430962094</v>
      </c>
      <c r="I172" s="2" t="str" cm="1">
        <f t="array" ref="I172">_xlfn.IFS(OR(D172="",E172="",F172=""),"",MOD(D172,12)&lt;&gt;0,"",MOD(D172,12)=0,"Year End"&amp;" "&amp;D172/12)</f>
        <v/>
      </c>
      <c r="V172">
        <v>161</v>
      </c>
    </row>
    <row r="173" spans="4:22">
      <c r="D173" s="32">
        <f>IF(V173&lt;=calcs!$F$4,'Loan Calculator'!V173,"")</f>
        <v>162</v>
      </c>
      <c r="E173" s="29" cm="1">
        <f t="array" ref="E173">_xlfn.IFS(F173="","",G172&lt;F172,G172*calcs!$H$3,$D$8&lt;=0,$M$3-F173,$D$8&gt;0,$M$3-F173+$D$8,G172&lt;F172,G173*calcs!$H$3)</f>
        <v>1140.522687692303</v>
      </c>
      <c r="F173" s="29" cm="1">
        <f t="array" ref="F173">_xlfn.IFS(F172="","",G172=0,"",G172&lt;1,"",G172&lt;F172,G172,AND(G172&gt;0,$D$8&gt;0),$D$8+($M$3-(G172*calcs!$H$3)),G172&gt;0,$M$3-(G172*calcs!$H$3))</f>
        <v>522.73355025565365</v>
      </c>
      <c r="G173" s="29" cm="1">
        <f t="array" ref="G173">_xlfn.IFS(F173="","",G172-F173&lt;1,0,ISBLANK(F173)=TRUE,"",G172-F173&gt;1,G172-F173)</f>
        <v>194995.44148271056</v>
      </c>
      <c r="H173" s="33">
        <f t="shared" si="3"/>
        <v>269447.51054756891</v>
      </c>
      <c r="I173" s="2" t="str" cm="1">
        <f t="array" ref="I173">_xlfn.IFS(OR(D173="",E173="",F173=""),"",MOD(D173,12)&lt;&gt;0,"",MOD(D173,12)=0,"Year End"&amp;" "&amp;D173/12)</f>
        <v/>
      </c>
      <c r="V173">
        <v>162</v>
      </c>
    </row>
    <row r="174" spans="4:22">
      <c r="D174" s="30">
        <f>IF(V174&lt;=calcs!$F$4,'Loan Calculator'!V174,"")</f>
        <v>163</v>
      </c>
      <c r="E174" s="27" cm="1">
        <f t="array" ref="E174">_xlfn.IFS(F174="","",G173&lt;F173,G173*calcs!$H$3,$D$8&lt;=0,$M$3-F174,$D$8&gt;0,$M$3-F174+$D$8,G173&lt;F173,G174*calcs!$H$3)</f>
        <v>1137.4734086491451</v>
      </c>
      <c r="F174" s="27" cm="1">
        <f t="array" ref="F174">_xlfn.IFS(F173="","",G173=0,"",G173&lt;1,"",G173&lt;F173,G173,AND(G173&gt;0,$D$8&gt;0),$D$8+($M$3-(G173*calcs!$H$3)),G173&gt;0,$M$3-(G173*calcs!$H$3))</f>
        <v>525.78282929881152</v>
      </c>
      <c r="G174" s="27" cm="1">
        <f t="array" ref="G174">_xlfn.IFS(F174="","",G173-F174&lt;1,0,ISBLANK(F174)=TRUE,"",G173-F174&gt;1,G173-F174)</f>
        <v>194469.65865341175</v>
      </c>
      <c r="H174" s="31">
        <f t="shared" si="3"/>
        <v>271110.76678551687</v>
      </c>
      <c r="I174" s="2" t="str" cm="1">
        <f t="array" ref="I174">_xlfn.IFS(OR(D174="",E174="",F174=""),"",MOD(D174,12)&lt;&gt;0,"",MOD(D174,12)=0,"Year End"&amp;" "&amp;D174/12)</f>
        <v/>
      </c>
      <c r="V174">
        <v>163</v>
      </c>
    </row>
    <row r="175" spans="4:22">
      <c r="D175" s="32">
        <f>IF(V175&lt;=calcs!$F$4,'Loan Calculator'!V175,"")</f>
        <v>164</v>
      </c>
      <c r="E175" s="29" cm="1">
        <f t="array" ref="E175">_xlfn.IFS(F175="","",G174&lt;F174,G174*calcs!$H$3,$D$8&lt;=0,$M$3-F175,$D$8&gt;0,$M$3-F175+$D$8,G174&lt;F174,G175*calcs!$H$3)</f>
        <v>1134.4063421449018</v>
      </c>
      <c r="F175" s="29" cm="1">
        <f t="array" ref="F175">_xlfn.IFS(F174="","",G174=0,"",G174&lt;1,"",G174&lt;F174,G174,AND(G174&gt;0,$D$8&gt;0),$D$8+($M$3-(G174*calcs!$H$3)),G174&gt;0,$M$3-(G174*calcs!$H$3))</f>
        <v>528.84989580305478</v>
      </c>
      <c r="G175" s="29" cm="1">
        <f t="array" ref="G175">_xlfn.IFS(F175="","",G174-F175&lt;1,0,ISBLANK(F175)=TRUE,"",G174-F175&gt;1,G174-F175)</f>
        <v>193940.8087576087</v>
      </c>
      <c r="H175" s="33">
        <f t="shared" si="3"/>
        <v>272774.02302346483</v>
      </c>
      <c r="I175" s="2" t="str" cm="1">
        <f t="array" ref="I175">_xlfn.IFS(OR(D175="",E175="",F175=""),"",MOD(D175,12)&lt;&gt;0,"",MOD(D175,12)=0,"Year End"&amp;" "&amp;D175/12)</f>
        <v/>
      </c>
      <c r="V175">
        <v>164</v>
      </c>
    </row>
    <row r="176" spans="4:22">
      <c r="D176" s="30">
        <f>IF(V176&lt;=calcs!$F$4,'Loan Calculator'!V176,"")</f>
        <v>165</v>
      </c>
      <c r="E176" s="27" cm="1">
        <f t="array" ref="E176">_xlfn.IFS(F176="","",G175&lt;F175,G175*calcs!$H$3,$D$8&lt;=0,$M$3-F176,$D$8&gt;0,$M$3-F176+$D$8,G175&lt;F175,G176*calcs!$H$3)</f>
        <v>1131.3213844193842</v>
      </c>
      <c r="F176" s="27" cm="1">
        <f t="array" ref="F176">_xlfn.IFS(F175="","",G175=0,"",G175&lt;1,"",G175&lt;F175,G175,AND(G175&gt;0,$D$8&gt;0),$D$8+($M$3-(G175*calcs!$H$3)),G175&gt;0,$M$3-(G175*calcs!$H$3))</f>
        <v>531.93485352857238</v>
      </c>
      <c r="G176" s="27" cm="1">
        <f t="array" ref="G176">_xlfn.IFS(F176="","",G175-F176&lt;1,0,ISBLANK(F176)=TRUE,"",G175-F176&gt;1,G175-F176)</f>
        <v>193408.87390408013</v>
      </c>
      <c r="H176" s="31">
        <f t="shared" si="3"/>
        <v>274437.2792614128</v>
      </c>
      <c r="I176" s="2" t="str" cm="1">
        <f t="array" ref="I176">_xlfn.IFS(OR(D176="",E176="",F176=""),"",MOD(D176,12)&lt;&gt;0,"",MOD(D176,12)=0,"Year End"&amp;" "&amp;D176/12)</f>
        <v/>
      </c>
      <c r="V176">
        <v>165</v>
      </c>
    </row>
    <row r="177" spans="4:22">
      <c r="D177" s="32">
        <f>IF(V177&lt;=calcs!$F$4,'Loan Calculator'!V177,"")</f>
        <v>166</v>
      </c>
      <c r="E177" s="29" cm="1">
        <f t="array" ref="E177">_xlfn.IFS(F177="","",G176&lt;F176,G176*calcs!$H$3,$D$8&lt;=0,$M$3-F177,$D$8&gt;0,$M$3-F177+$D$8,G176&lt;F176,G177*calcs!$H$3)</f>
        <v>1128.2184311071342</v>
      </c>
      <c r="F177" s="29" cm="1">
        <f t="array" ref="F177">_xlfn.IFS(F176="","",G176=0,"",G176&lt;1,"",G176&lt;F176,G176,AND(G176&gt;0,$D$8&gt;0),$D$8+($M$3-(G176*calcs!$H$3)),G176&gt;0,$M$3-(G176*calcs!$H$3))</f>
        <v>535.03780684082244</v>
      </c>
      <c r="G177" s="29" cm="1">
        <f t="array" ref="G177">_xlfn.IFS(F177="","",G176-F177&lt;1,0,ISBLANK(F177)=TRUE,"",G176-F177&gt;1,G176-F177)</f>
        <v>192873.83609723931</v>
      </c>
      <c r="H177" s="33">
        <f t="shared" si="3"/>
        <v>276100.53549936076</v>
      </c>
      <c r="I177" s="2" t="str" cm="1">
        <f t="array" ref="I177">_xlfn.IFS(OR(D177="",E177="",F177=""),"",MOD(D177,12)&lt;&gt;0,"",MOD(D177,12)=0,"Year End"&amp;" "&amp;D177/12)</f>
        <v/>
      </c>
      <c r="V177">
        <v>166</v>
      </c>
    </row>
    <row r="178" spans="4:22">
      <c r="D178" s="30">
        <f>IF(V178&lt;=calcs!$F$4,'Loan Calculator'!V178,"")</f>
        <v>167</v>
      </c>
      <c r="E178" s="27" cm="1">
        <f t="array" ref="E178">_xlfn.IFS(F178="","",G177&lt;F177,G177*calcs!$H$3,$D$8&lt;=0,$M$3-F178,$D$8&gt;0,$M$3-F178+$D$8,G177&lt;F177,G178*calcs!$H$3)</f>
        <v>1125.0973772338959</v>
      </c>
      <c r="F178" s="27" cm="1">
        <f t="array" ref="F178">_xlfn.IFS(F177="","",G177=0,"",G177&lt;1,"",G177&lt;F177,G177,AND(G177&gt;0,$D$8&gt;0),$D$8+($M$3-(G177*calcs!$H$3)),G177&gt;0,$M$3-(G177*calcs!$H$3))</f>
        <v>538.15886071406067</v>
      </c>
      <c r="G178" s="27" cm="1">
        <f t="array" ref="G178">_xlfn.IFS(F178="","",G177-F178&lt;1,0,ISBLANK(F178)=TRUE,"",G177-F178&gt;1,G177-F178)</f>
        <v>192335.67723652525</v>
      </c>
      <c r="H178" s="31">
        <f t="shared" si="3"/>
        <v>277763.79173730873</v>
      </c>
      <c r="I178" s="2" t="str" cm="1">
        <f t="array" ref="I178">_xlfn.IFS(OR(D178="",E178="",F178=""),"",MOD(D178,12)&lt;&gt;0,"",MOD(D178,12)=0,"Year End"&amp;" "&amp;D178/12)</f>
        <v/>
      </c>
      <c r="V178">
        <v>167</v>
      </c>
    </row>
    <row r="179" spans="4:22">
      <c r="D179" s="32">
        <f>IF(V179&lt;=calcs!$F$4,'Loan Calculator'!V179,"")</f>
        <v>168</v>
      </c>
      <c r="E179" s="29" cm="1">
        <f t="array" ref="E179">_xlfn.IFS(F179="","",G178&lt;F178,G178*calcs!$H$3,$D$8&lt;=0,$M$3-F179,$D$8&gt;0,$M$3-F179+$D$8,G178&lt;F178,G179*calcs!$H$3)</f>
        <v>1121.958117213064</v>
      </c>
      <c r="F179" s="29" cm="1">
        <f t="array" ref="F179">_xlfn.IFS(F178="","",G178=0,"",G178&lt;1,"",G178&lt;F178,G178,AND(G178&gt;0,$D$8&gt;0),$D$8+($M$3-(G178*calcs!$H$3)),G178&gt;0,$M$3-(G178*calcs!$H$3))</f>
        <v>541.29812073489256</v>
      </c>
      <c r="G179" s="29" cm="1">
        <f t="array" ref="G179">_xlfn.IFS(F179="","",G178-F179&lt;1,0,ISBLANK(F179)=TRUE,"",G178-F179&gt;1,G178-F179)</f>
        <v>191794.37911579036</v>
      </c>
      <c r="H179" s="33">
        <f t="shared" si="3"/>
        <v>279427.04797525663</v>
      </c>
      <c r="I179" s="2" t="str" cm="1">
        <f t="array" ref="I179">_xlfn.IFS(OR(D179="",E179="",F179=""),"",MOD(D179,12)&lt;&gt;0,"",MOD(D179,12)=0,"Year End"&amp;" "&amp;D179/12)</f>
        <v>Year End 14</v>
      </c>
      <c r="V179">
        <v>168</v>
      </c>
    </row>
    <row r="180" spans="4:22">
      <c r="D180" s="30">
        <f>IF(V180&lt;=calcs!$F$4,'Loan Calculator'!V180,"")</f>
        <v>169</v>
      </c>
      <c r="E180" s="27" cm="1">
        <f t="array" ref="E180">_xlfn.IFS(F180="","",G179&lt;F179,G179*calcs!$H$3,$D$8&lt;=0,$M$3-F180,$D$8&gt;0,$M$3-F180+$D$8,G179&lt;F179,G180*calcs!$H$3)</f>
        <v>1118.8005448421104</v>
      </c>
      <c r="F180" s="27" cm="1">
        <f t="array" ref="F180">_xlfn.IFS(F179="","",G179=0,"",G179&lt;1,"",G179&lt;F179,G179,AND(G179&gt;0,$D$8&gt;0),$D$8+($M$3-(G179*calcs!$H$3)),G179&gt;0,$M$3-(G179*calcs!$H$3))</f>
        <v>544.45569310584619</v>
      </c>
      <c r="G180" s="27" cm="1">
        <f t="array" ref="G180">_xlfn.IFS(F180="","",G179-F180&lt;1,0,ISBLANK(F180)=TRUE,"",G179-F180&gt;1,G179-F180)</f>
        <v>191249.92342268451</v>
      </c>
      <c r="H180" s="31">
        <f t="shared" si="3"/>
        <v>281090.30421320454</v>
      </c>
      <c r="I180" s="2" t="str" cm="1">
        <f t="array" ref="I180">_xlfn.IFS(OR(D180="",E180="",F180=""),"",MOD(D180,12)&lt;&gt;0,"",MOD(D180,12)=0,"Year End"&amp;" "&amp;D180/12)</f>
        <v/>
      </c>
      <c r="V180">
        <v>169</v>
      </c>
    </row>
    <row r="181" spans="4:22">
      <c r="D181" s="32">
        <f>IF(V181&lt;=calcs!$F$4,'Loan Calculator'!V181,"")</f>
        <v>170</v>
      </c>
      <c r="E181" s="29" cm="1">
        <f t="array" ref="E181">_xlfn.IFS(F181="","",G180&lt;F180,G180*calcs!$H$3,$D$8&lt;=0,$M$3-F181,$D$8&gt;0,$M$3-F181+$D$8,G180&lt;F180,G181*calcs!$H$3)</f>
        <v>1115.6245532989931</v>
      </c>
      <c r="F181" s="29" cm="1">
        <f t="array" ref="F181">_xlfn.IFS(F180="","",G180=0,"",G180&lt;1,"",G180&lt;F180,G180,AND(G180&gt;0,$D$8&gt;0),$D$8+($M$3-(G180*calcs!$H$3)),G180&gt;0,$M$3-(G180*calcs!$H$3))</f>
        <v>547.63168464896353</v>
      </c>
      <c r="G181" s="29" cm="1">
        <f t="array" ref="G181">_xlfn.IFS(F181="","",G180-F181&lt;1,0,ISBLANK(F181)=TRUE,"",G180-F181&gt;1,G180-F181)</f>
        <v>190702.29173803556</v>
      </c>
      <c r="H181" s="33">
        <f t="shared" si="3"/>
        <v>282753.5604511525</v>
      </c>
      <c r="I181" s="2" t="str" cm="1">
        <f t="array" ref="I181">_xlfn.IFS(OR(D181="",E181="",F181=""),"",MOD(D181,12)&lt;&gt;0,"",MOD(D181,12)=0,"Year End"&amp;" "&amp;D181/12)</f>
        <v/>
      </c>
      <c r="V181">
        <v>170</v>
      </c>
    </row>
    <row r="182" spans="4:22">
      <c r="D182" s="30">
        <f>IF(V182&lt;=calcs!$F$4,'Loan Calculator'!V182,"")</f>
        <v>171</v>
      </c>
      <c r="E182" s="27" cm="1">
        <f t="array" ref="E182">_xlfn.IFS(F182="","",G181&lt;F181,G181*calcs!$H$3,$D$8&lt;=0,$M$3-F182,$D$8&gt;0,$M$3-F182+$D$8,G181&lt;F181,G182*calcs!$H$3)</f>
        <v>1112.4300351385409</v>
      </c>
      <c r="F182" s="27" cm="1">
        <f t="array" ref="F182">_xlfn.IFS(F181="","",G181=0,"",G181&lt;1,"",G181&lt;F181,G181,AND(G181&gt;0,$D$8&gt;0),$D$8+($M$3-(G181*calcs!$H$3)),G181&gt;0,$M$3-(G181*calcs!$H$3))</f>
        <v>550.82620280941569</v>
      </c>
      <c r="G182" s="27" cm="1">
        <f t="array" ref="G182">_xlfn.IFS(F182="","",G181-F182&lt;1,0,ISBLANK(F182)=TRUE,"",G181-F182&gt;1,G181-F182)</f>
        <v>190151.46553522616</v>
      </c>
      <c r="H182" s="31">
        <f t="shared" si="3"/>
        <v>284416.81668910047</v>
      </c>
      <c r="I182" s="2" t="str" cm="1">
        <f t="array" ref="I182">_xlfn.IFS(OR(D182="",E182="",F182=""),"",MOD(D182,12)&lt;&gt;0,"",MOD(D182,12)=0,"Year End"&amp;" "&amp;D182/12)</f>
        <v/>
      </c>
      <c r="V182">
        <v>171</v>
      </c>
    </row>
    <row r="183" spans="4:22">
      <c r="D183" s="32">
        <f>IF(V183&lt;=calcs!$F$4,'Loan Calculator'!V183,"")</f>
        <v>172</v>
      </c>
      <c r="E183" s="29" cm="1">
        <f t="array" ref="E183">_xlfn.IFS(F183="","",G182&lt;F182,G182*calcs!$H$3,$D$8&lt;=0,$M$3-F183,$D$8&gt;0,$M$3-F183+$D$8,G182&lt;F182,G183*calcs!$H$3)</f>
        <v>1109.2168822888193</v>
      </c>
      <c r="F183" s="29" cm="1">
        <f t="array" ref="F183">_xlfn.IFS(F182="","",G182=0,"",G182&lt;1,"",G182&lt;F182,G182,AND(G182&gt;0,$D$8&gt;0),$D$8+($M$3-(G182*calcs!$H$3)),G182&gt;0,$M$3-(G182*calcs!$H$3))</f>
        <v>554.0393556591373</v>
      </c>
      <c r="G183" s="29" cm="1">
        <f t="array" ref="G183">_xlfn.IFS(F183="","",G182-F183&lt;1,0,ISBLANK(F183)=TRUE,"",G182-F183&gt;1,G182-F183)</f>
        <v>189597.42617956703</v>
      </c>
      <c r="H183" s="33">
        <f t="shared" si="3"/>
        <v>286080.07292704843</v>
      </c>
      <c r="I183" s="2" t="str" cm="1">
        <f t="array" ref="I183">_xlfn.IFS(OR(D183="",E183="",F183=""),"",MOD(D183,12)&lt;&gt;0,"",MOD(D183,12)=0,"Year End"&amp;" "&amp;D183/12)</f>
        <v/>
      </c>
      <c r="V183">
        <v>172</v>
      </c>
    </row>
    <row r="184" spans="4:22">
      <c r="D184" s="30">
        <f>IF(V184&lt;=calcs!$F$4,'Loan Calculator'!V184,"")</f>
        <v>173</v>
      </c>
      <c r="E184" s="27" cm="1">
        <f t="array" ref="E184">_xlfn.IFS(F184="","",G183&lt;F183,G183*calcs!$H$3,$D$8&lt;=0,$M$3-F184,$D$8&gt;0,$M$3-F184+$D$8,G183&lt;F183,G184*calcs!$H$3)</f>
        <v>1105.9849860474744</v>
      </c>
      <c r="F184" s="27" cm="1">
        <f t="array" ref="F184">_xlfn.IFS(F183="","",G183=0,"",G183&lt;1,"",G183&lt;F183,G183,AND(G183&gt;0,$D$8&gt;0),$D$8+($M$3-(G183*calcs!$H$3)),G183&gt;0,$M$3-(G183*calcs!$H$3))</f>
        <v>557.27125190048218</v>
      </c>
      <c r="G184" s="27" cm="1">
        <f t="array" ref="G184">_xlfn.IFS(F184="","",G183-F184&lt;1,0,ISBLANK(F184)=TRUE,"",G183-F184&gt;1,G183-F184)</f>
        <v>189040.15492766656</v>
      </c>
      <c r="H184" s="31">
        <f t="shared" si="3"/>
        <v>287743.32916499639</v>
      </c>
      <c r="I184" s="2" t="str" cm="1">
        <f t="array" ref="I184">_xlfn.IFS(OR(D184="",E184="",F184=""),"",MOD(D184,12)&lt;&gt;0,"",MOD(D184,12)=0,"Year End"&amp;" "&amp;D184/12)</f>
        <v/>
      </c>
      <c r="V184">
        <v>173</v>
      </c>
    </row>
    <row r="185" spans="4:22">
      <c r="D185" s="32">
        <f>IF(V185&lt;=calcs!$F$4,'Loan Calculator'!V185,"")</f>
        <v>174</v>
      </c>
      <c r="E185" s="29" cm="1">
        <f t="array" ref="E185">_xlfn.IFS(F185="","",G184&lt;F184,G184*calcs!$H$3,$D$8&lt;=0,$M$3-F185,$D$8&gt;0,$M$3-F185+$D$8,G184&lt;F184,G185*calcs!$H$3)</f>
        <v>1102.734237078055</v>
      </c>
      <c r="F185" s="29" cm="1">
        <f t="array" ref="F185">_xlfn.IFS(F184="","",G184=0,"",G184&lt;1,"",G184&lt;F184,G184,AND(G184&gt;0,$D$8&gt;0),$D$8+($M$3-(G184*calcs!$H$3)),G184&gt;0,$M$3-(G184*calcs!$H$3))</f>
        <v>560.5220008699016</v>
      </c>
      <c r="G185" s="29" cm="1">
        <f t="array" ref="G185">_xlfn.IFS(F185="","",G184-F185&lt;1,0,ISBLANK(F185)=TRUE,"",G184-F185&gt;1,G184-F185)</f>
        <v>188479.63292679665</v>
      </c>
      <c r="H185" s="33">
        <f t="shared" si="3"/>
        <v>289406.58540294436</v>
      </c>
      <c r="I185" s="2" t="str" cm="1">
        <f t="array" ref="I185">_xlfn.IFS(OR(D185="",E185="",F185=""),"",MOD(D185,12)&lt;&gt;0,"",MOD(D185,12)=0,"Year End"&amp;" "&amp;D185/12)</f>
        <v/>
      </c>
      <c r="V185">
        <v>174</v>
      </c>
    </row>
    <row r="186" spans="4:22">
      <c r="D186" s="30">
        <f>IF(V186&lt;=calcs!$F$4,'Loan Calculator'!V186,"")</f>
        <v>175</v>
      </c>
      <c r="E186" s="27" cm="1">
        <f t="array" ref="E186">_xlfn.IFS(F186="","",G185&lt;F185,G185*calcs!$H$3,$D$8&lt;=0,$M$3-F186,$D$8&gt;0,$M$3-F186+$D$8,G185&lt;F185,G186*calcs!$H$3)</f>
        <v>1099.4645254063139</v>
      </c>
      <c r="F186" s="27" cm="1">
        <f t="array" ref="F186">_xlfn.IFS(F185="","",G185=0,"",G185&lt;1,"",G185&lt;F185,G185,AND(G185&gt;0,$D$8&gt;0),$D$8+($M$3-(G185*calcs!$H$3)),G185&gt;0,$M$3-(G185*calcs!$H$3))</f>
        <v>563.79171254164271</v>
      </c>
      <c r="G186" s="27" cm="1">
        <f t="array" ref="G186">_xlfn.IFS(F186="","",G185-F186&lt;1,0,ISBLANK(F186)=TRUE,"",G185-F186&gt;1,G185-F186)</f>
        <v>187915.84121425499</v>
      </c>
      <c r="H186" s="31">
        <f t="shared" si="3"/>
        <v>291069.84164089232</v>
      </c>
      <c r="I186" s="2" t="str" cm="1">
        <f t="array" ref="I186">_xlfn.IFS(OR(D186="",E186="",F186=""),"",MOD(D186,12)&lt;&gt;0,"",MOD(D186,12)=0,"Year End"&amp;" "&amp;D186/12)</f>
        <v/>
      </c>
      <c r="V186">
        <v>175</v>
      </c>
    </row>
    <row r="187" spans="4:22">
      <c r="D187" s="32">
        <f>IF(V187&lt;=calcs!$F$4,'Loan Calculator'!V187,"")</f>
        <v>176</v>
      </c>
      <c r="E187" s="29" cm="1">
        <f t="array" ref="E187">_xlfn.IFS(F187="","",G186&lt;F186,G186*calcs!$H$3,$D$8&lt;=0,$M$3-F187,$D$8&gt;0,$M$3-F187+$D$8,G186&lt;F186,G187*calcs!$H$3)</f>
        <v>1096.1757404164875</v>
      </c>
      <c r="F187" s="29" cm="1">
        <f t="array" ref="F187">_xlfn.IFS(F186="","",G186=0,"",G186&lt;1,"",G186&lt;F186,G186,AND(G186&gt;0,$D$8&gt;0),$D$8+($M$3-(G186*calcs!$H$3)),G186&gt;0,$M$3-(G186*calcs!$H$3))</f>
        <v>567.08049753146906</v>
      </c>
      <c r="G187" s="29" cm="1">
        <f t="array" ref="G187">_xlfn.IFS(F187="","",G186-F187&lt;1,0,ISBLANK(F187)=TRUE,"",G186-F187&gt;1,G186-F187)</f>
        <v>187348.76071672351</v>
      </c>
      <c r="H187" s="33">
        <f t="shared" si="3"/>
        <v>292733.09787884029</v>
      </c>
      <c r="I187" s="2" t="str" cm="1">
        <f t="array" ref="I187">_xlfn.IFS(OR(D187="",E187="",F187=""),"",MOD(D187,12)&lt;&gt;0,"",MOD(D187,12)=0,"Year End"&amp;" "&amp;D187/12)</f>
        <v/>
      </c>
      <c r="V187">
        <v>176</v>
      </c>
    </row>
    <row r="188" spans="4:22">
      <c r="D188" s="30">
        <f>IF(V188&lt;=calcs!$F$4,'Loan Calculator'!V188,"")</f>
        <v>177</v>
      </c>
      <c r="E188" s="27" cm="1">
        <f t="array" ref="E188">_xlfn.IFS(F188="","",G187&lt;F187,G187*calcs!$H$3,$D$8&lt;=0,$M$3-F188,$D$8&gt;0,$M$3-F188+$D$8,G187&lt;F187,G188*calcs!$H$3)</f>
        <v>1092.8677708475539</v>
      </c>
      <c r="F188" s="27" cm="1">
        <f t="array" ref="F188">_xlfn.IFS(F187="","",G187=0,"",G187&lt;1,"",G187&lt;F187,G187,AND(G187&gt;0,$D$8&gt;0),$D$8+($M$3-(G187*calcs!$H$3)),G187&gt;0,$M$3-(G187*calcs!$H$3))</f>
        <v>570.38846710040275</v>
      </c>
      <c r="G188" s="27" cm="1">
        <f t="array" ref="G188">_xlfn.IFS(F188="","",G187-F188&lt;1,0,ISBLANK(F188)=TRUE,"",G187-F188&gt;1,G187-F188)</f>
        <v>186778.37224962312</v>
      </c>
      <c r="H188" s="31">
        <f t="shared" si="3"/>
        <v>294396.35411678825</v>
      </c>
      <c r="I188" s="2" t="str" cm="1">
        <f t="array" ref="I188">_xlfn.IFS(OR(D188="",E188="",F188=""),"",MOD(D188,12)&lt;&gt;0,"",MOD(D188,12)=0,"Year End"&amp;" "&amp;D188/12)</f>
        <v/>
      </c>
      <c r="V188">
        <v>177</v>
      </c>
    </row>
    <row r="189" spans="4:22">
      <c r="D189" s="32">
        <f>IF(V189&lt;=calcs!$F$4,'Loan Calculator'!V189,"")</f>
        <v>178</v>
      </c>
      <c r="E189" s="29" cm="1">
        <f t="array" ref="E189">_xlfn.IFS(F189="","",G188&lt;F188,G188*calcs!$H$3,$D$8&lt;=0,$M$3-F189,$D$8&gt;0,$M$3-F189+$D$8,G188&lt;F188,G189*calcs!$H$3)</f>
        <v>1089.5405047894683</v>
      </c>
      <c r="F189" s="29" cm="1">
        <f t="array" ref="F189">_xlfn.IFS(F188="","",G188=0,"",G188&lt;1,"",G188&lt;F188,G188,AND(G188&gt;0,$D$8&gt;0),$D$8+($M$3-(G188*calcs!$H$3)),G188&gt;0,$M$3-(G188*calcs!$H$3))</f>
        <v>573.71573315848832</v>
      </c>
      <c r="G189" s="29" cm="1">
        <f t="array" ref="G189">_xlfn.IFS(F189="","",G188-F189&lt;1,0,ISBLANK(F189)=TRUE,"",G188-F189&gt;1,G188-F189)</f>
        <v>186204.65651646463</v>
      </c>
      <c r="H189" s="33">
        <f t="shared" si="3"/>
        <v>296059.61035473616</v>
      </c>
      <c r="I189" s="2" t="str" cm="1">
        <f t="array" ref="I189">_xlfn.IFS(OR(D189="",E189="",F189=""),"",MOD(D189,12)&lt;&gt;0,"",MOD(D189,12)=0,"Year End"&amp;" "&amp;D189/12)</f>
        <v/>
      </c>
      <c r="V189">
        <v>178</v>
      </c>
    </row>
    <row r="190" spans="4:22">
      <c r="D190" s="30">
        <f>IF(V190&lt;=calcs!$F$4,'Loan Calculator'!V190,"")</f>
        <v>179</v>
      </c>
      <c r="E190" s="27" cm="1">
        <f t="array" ref="E190">_xlfn.IFS(F190="","",G189&lt;F189,G189*calcs!$H$3,$D$8&lt;=0,$M$3-F190,$D$8&gt;0,$M$3-F190+$D$8,G189&lt;F189,G190*calcs!$H$3)</f>
        <v>1086.1938296793771</v>
      </c>
      <c r="F190" s="27" cm="1">
        <f t="array" ref="F190">_xlfn.IFS(F189="","",G189=0,"",G189&lt;1,"",G189&lt;F189,G189,AND(G189&gt;0,$D$8&gt;0),$D$8+($M$3-(G189*calcs!$H$3)),G189&gt;0,$M$3-(G189*calcs!$H$3))</f>
        <v>577.06240826857947</v>
      </c>
      <c r="G190" s="27" cm="1">
        <f t="array" ref="G190">_xlfn.IFS(F190="","",G189-F190&lt;1,0,ISBLANK(F190)=TRUE,"",G189-F190&gt;1,G189-F190)</f>
        <v>185627.59410819606</v>
      </c>
      <c r="H190" s="31">
        <f t="shared" si="3"/>
        <v>297722.86659268412</v>
      </c>
      <c r="I190" s="2" t="str" cm="1">
        <f t="array" ref="I190">_xlfn.IFS(OR(D190="",E190="",F190=""),"",MOD(D190,12)&lt;&gt;0,"",MOD(D190,12)=0,"Year End"&amp;" "&amp;D190/12)</f>
        <v/>
      </c>
      <c r="V190">
        <v>179</v>
      </c>
    </row>
    <row r="191" spans="4:22">
      <c r="D191" s="32">
        <f>IF(V191&lt;=calcs!$F$4,'Loan Calculator'!V191,"")</f>
        <v>180</v>
      </c>
      <c r="E191" s="29" cm="1">
        <f t="array" ref="E191">_xlfn.IFS(F191="","",G190&lt;F190,G190*calcs!$H$3,$D$8&lt;=0,$M$3-F191,$D$8&gt;0,$M$3-F191+$D$8,G190&lt;F190,G191*calcs!$H$3)</f>
        <v>1082.8276322978104</v>
      </c>
      <c r="F191" s="29" cm="1">
        <f t="array" ref="F191">_xlfn.IFS(F190="","",G190=0,"",G190&lt;1,"",G190&lt;F190,G190,AND(G190&gt;0,$D$8&gt;0),$D$8+($M$3-(G190*calcs!$H$3)),G190&gt;0,$M$3-(G190*calcs!$H$3))</f>
        <v>580.42860565014621</v>
      </c>
      <c r="G191" s="29" cm="1">
        <f t="array" ref="G191">_xlfn.IFS(F191="","",G190-F191&lt;1,0,ISBLANK(F191)=TRUE,"",G190-F191&gt;1,G190-F191)</f>
        <v>185047.16550254592</v>
      </c>
      <c r="H191" s="33">
        <f t="shared" si="3"/>
        <v>299386.12283063208</v>
      </c>
      <c r="I191" s="2" t="str" cm="1">
        <f t="array" ref="I191">_xlfn.IFS(OR(D191="",E191="",F191=""),"",MOD(D191,12)&lt;&gt;0,"",MOD(D191,12)=0,"Year End"&amp;" "&amp;D191/12)</f>
        <v>Year End 15</v>
      </c>
      <c r="V191">
        <v>180</v>
      </c>
    </row>
    <row r="192" spans="4:22">
      <c r="D192" s="30">
        <f>IF(V192&lt;=calcs!$F$4,'Loan Calculator'!V192,"")</f>
        <v>181</v>
      </c>
      <c r="E192" s="27" cm="1">
        <f t="array" ref="E192">_xlfn.IFS(F192="","",G191&lt;F191,G191*calcs!$H$3,$D$8&lt;=0,$M$3-F192,$D$8&gt;0,$M$3-F192+$D$8,G191&lt;F191,G192*calcs!$H$3)</f>
        <v>1079.4417987648512</v>
      </c>
      <c r="F192" s="27" cm="1">
        <f t="array" ref="F192">_xlfn.IFS(F191="","",G191=0,"",G191&lt;1,"",G191&lt;F191,G191,AND(G191&gt;0,$D$8&gt;0),$D$8+($M$3-(G191*calcs!$H$3)),G191&gt;0,$M$3-(G191*calcs!$H$3))</f>
        <v>583.81443918310538</v>
      </c>
      <c r="G192" s="27" cm="1">
        <f t="array" ref="G192">_xlfn.IFS(F192="","",G191-F192&lt;1,0,ISBLANK(F192)=TRUE,"",G191-F192&gt;1,G191-F192)</f>
        <v>184463.35106336282</v>
      </c>
      <c r="H192" s="31">
        <f t="shared" si="3"/>
        <v>301049.37906858005</v>
      </c>
      <c r="I192" s="2" t="str" cm="1">
        <f t="array" ref="I192">_xlfn.IFS(OR(D192="",E192="",F192=""),"",MOD(D192,12)&lt;&gt;0,"",MOD(D192,12)=0,"Year End"&amp;" "&amp;D192/12)</f>
        <v/>
      </c>
      <c r="V192">
        <v>181</v>
      </c>
    </row>
    <row r="193" spans="4:22">
      <c r="D193" s="32">
        <f>IF(V193&lt;=calcs!$F$4,'Loan Calculator'!V193,"")</f>
        <v>182</v>
      </c>
      <c r="E193" s="29" cm="1">
        <f t="array" ref="E193">_xlfn.IFS(F193="","",G192&lt;F192,G192*calcs!$H$3,$D$8&lt;=0,$M$3-F193,$D$8&gt;0,$M$3-F193+$D$8,G192&lt;F192,G193*calcs!$H$3)</f>
        <v>1076.0362145362831</v>
      </c>
      <c r="F193" s="29" cm="1">
        <f t="array" ref="F193">_xlfn.IFS(F192="","",G192=0,"",G192&lt;1,"",G192&lt;F192,G192,AND(G192&gt;0,$D$8&gt;0),$D$8+($M$3-(G192*calcs!$H$3)),G192&gt;0,$M$3-(G192*calcs!$H$3))</f>
        <v>587.22002341167354</v>
      </c>
      <c r="G193" s="29" cm="1">
        <f t="array" ref="G193">_xlfn.IFS(F193="","",G192-F193&lt;1,0,ISBLANK(F193)=TRUE,"",G192-F193&gt;1,G192-F193)</f>
        <v>183876.13103995114</v>
      </c>
      <c r="H193" s="33">
        <f t="shared" si="3"/>
        <v>302712.63530652801</v>
      </c>
      <c r="I193" s="2" t="str" cm="1">
        <f t="array" ref="I193">_xlfn.IFS(OR(D193="",E193="",F193=""),"",MOD(D193,12)&lt;&gt;0,"",MOD(D193,12)=0,"Year End"&amp;" "&amp;D193/12)</f>
        <v/>
      </c>
      <c r="V193">
        <v>182</v>
      </c>
    </row>
    <row r="194" spans="4:22">
      <c r="D194" s="30">
        <f>IF(V194&lt;=calcs!$F$4,'Loan Calculator'!V194,"")</f>
        <v>183</v>
      </c>
      <c r="E194" s="27" cm="1">
        <f t="array" ref="E194">_xlfn.IFS(F194="","",G193&lt;F193,G193*calcs!$H$3,$D$8&lt;=0,$M$3-F194,$D$8&gt;0,$M$3-F194+$D$8,G193&lt;F193,G194*calcs!$H$3)</f>
        <v>1072.610764399715</v>
      </c>
      <c r="F194" s="27" cm="1">
        <f t="array" ref="F194">_xlfn.IFS(F193="","",G193=0,"",G193&lt;1,"",G193&lt;F193,G193,AND(G193&gt;0,$D$8&gt;0),$D$8+($M$3-(G193*calcs!$H$3)),G193&gt;0,$M$3-(G193*calcs!$H$3))</f>
        <v>590.64547354824163</v>
      </c>
      <c r="G194" s="27" cm="1">
        <f t="array" ref="G194">_xlfn.IFS(F194="","",G193-F194&lt;1,0,ISBLANK(F194)=TRUE,"",G193-F194&gt;1,G193-F194)</f>
        <v>183285.4855664029</v>
      </c>
      <c r="H194" s="31">
        <f t="shared" si="3"/>
        <v>304375.89154447598</v>
      </c>
      <c r="I194" s="2" t="str" cm="1">
        <f t="array" ref="I194">_xlfn.IFS(OR(D194="",E194="",F194=""),"",MOD(D194,12)&lt;&gt;0,"",MOD(D194,12)=0,"Year End"&amp;" "&amp;D194/12)</f>
        <v/>
      </c>
      <c r="V194">
        <v>183</v>
      </c>
    </row>
    <row r="195" spans="4:22">
      <c r="D195" s="32">
        <f>IF(V195&lt;=calcs!$F$4,'Loan Calculator'!V195,"")</f>
        <v>184</v>
      </c>
      <c r="E195" s="29" cm="1">
        <f t="array" ref="E195">_xlfn.IFS(F195="","",G194&lt;F194,G194*calcs!$H$3,$D$8&lt;=0,$M$3-F195,$D$8&gt;0,$M$3-F195+$D$8,G194&lt;F194,G195*calcs!$H$3)</f>
        <v>1069.1653324706836</v>
      </c>
      <c r="F195" s="29" cm="1">
        <f t="array" ref="F195">_xlfn.IFS(F194="","",G194=0,"",G194&lt;1,"",G194&lt;F194,G194,AND(G194&gt;0,$D$8&gt;0),$D$8+($M$3-(G194*calcs!$H$3)),G194&gt;0,$M$3-(G194*calcs!$H$3))</f>
        <v>594.09090547727305</v>
      </c>
      <c r="G195" s="29" cm="1">
        <f t="array" ref="G195">_xlfn.IFS(F195="","",G194-F195&lt;1,0,ISBLANK(F195)=TRUE,"",G194-F195&gt;1,G194-F195)</f>
        <v>182691.39466092564</v>
      </c>
      <c r="H195" s="33">
        <f t="shared" si="3"/>
        <v>306039.14778242394</v>
      </c>
      <c r="I195" s="2" t="str" cm="1">
        <f t="array" ref="I195">_xlfn.IFS(OR(D195="",E195="",F195=""),"",MOD(D195,12)&lt;&gt;0,"",MOD(D195,12)=0,"Year End"&amp;" "&amp;D195/12)</f>
        <v/>
      </c>
      <c r="V195">
        <v>184</v>
      </c>
    </row>
    <row r="196" spans="4:22">
      <c r="D196" s="30">
        <f>IF(V196&lt;=calcs!$F$4,'Loan Calculator'!V196,"")</f>
        <v>185</v>
      </c>
      <c r="E196" s="27" cm="1">
        <f t="array" ref="E196">_xlfn.IFS(F196="","",G195&lt;F195,G195*calcs!$H$3,$D$8&lt;=0,$M$3-F196,$D$8&gt;0,$M$3-F196+$D$8,G195&lt;F195,G196*calcs!$H$3)</f>
        <v>1065.699802188733</v>
      </c>
      <c r="F196" s="27" cm="1">
        <f t="array" ref="F196">_xlfn.IFS(F195="","",G195=0,"",G195&lt;1,"",G195&lt;F195,G195,AND(G195&gt;0,$D$8&gt;0),$D$8+($M$3-(G195*calcs!$H$3)),G195&gt;0,$M$3-(G195*calcs!$H$3))</f>
        <v>597.55643575922363</v>
      </c>
      <c r="G196" s="27" cm="1">
        <f t="array" ref="G196">_xlfn.IFS(F196="","",G195-F196&lt;1,0,ISBLANK(F196)=TRUE,"",G195-F196&gt;1,G195-F196)</f>
        <v>182093.8382251664</v>
      </c>
      <c r="H196" s="31">
        <f t="shared" si="3"/>
        <v>307702.40402037191</v>
      </c>
      <c r="I196" s="2" t="str" cm="1">
        <f t="array" ref="I196">_xlfn.IFS(OR(D196="",E196="",F196=""),"",MOD(D196,12)&lt;&gt;0,"",MOD(D196,12)=0,"Year End"&amp;" "&amp;D196/12)</f>
        <v/>
      </c>
      <c r="V196">
        <v>185</v>
      </c>
    </row>
    <row r="197" spans="4:22">
      <c r="D197" s="32">
        <f>IF(V197&lt;=calcs!$F$4,'Loan Calculator'!V197,"")</f>
        <v>186</v>
      </c>
      <c r="E197" s="29" cm="1">
        <f t="array" ref="E197">_xlfn.IFS(F197="","",G196&lt;F196,G196*calcs!$H$3,$D$8&lt;=0,$M$3-F197,$D$8&gt;0,$M$3-F197+$D$8,G196&lt;F196,G197*calcs!$H$3)</f>
        <v>1062.2140563134708</v>
      </c>
      <c r="F197" s="29" cm="1">
        <f t="array" ref="F197">_xlfn.IFS(F196="","",G196=0,"",G196&lt;1,"",G196&lt;F196,G196,AND(G196&gt;0,$D$8&gt;0),$D$8+($M$3-(G196*calcs!$H$3)),G196&gt;0,$M$3-(G196*calcs!$H$3))</f>
        <v>601.04218163448581</v>
      </c>
      <c r="G197" s="29" cm="1">
        <f t="array" ref="G197">_xlfn.IFS(F197="","",G196-F197&lt;1,0,ISBLANK(F197)=TRUE,"",G196-F197&gt;1,G196-F197)</f>
        <v>181492.79604353191</v>
      </c>
      <c r="H197" s="33">
        <f t="shared" si="3"/>
        <v>309365.66025831981</v>
      </c>
      <c r="I197" s="2" t="str" cm="1">
        <f t="array" ref="I197">_xlfn.IFS(OR(D197="",E197="",F197=""),"",MOD(D197,12)&lt;&gt;0,"",MOD(D197,12)=0,"Year End"&amp;" "&amp;D197/12)</f>
        <v/>
      </c>
      <c r="V197">
        <v>186</v>
      </c>
    </row>
    <row r="198" spans="4:22">
      <c r="D198" s="30">
        <f>IF(V198&lt;=calcs!$F$4,'Loan Calculator'!V198,"")</f>
        <v>187</v>
      </c>
      <c r="E198" s="27" cm="1">
        <f t="array" ref="E198">_xlfn.IFS(F198="","",G197&lt;F197,G197*calcs!$H$3,$D$8&lt;=0,$M$3-F198,$D$8&gt;0,$M$3-F198+$D$8,G197&lt;F197,G198*calcs!$H$3)</f>
        <v>1058.707976920603</v>
      </c>
      <c r="F198" s="27" cm="1">
        <f t="array" ref="F198">_xlfn.IFS(F197="","",G197=0,"",G197&lt;1,"",G197&lt;F197,G197,AND(G197&gt;0,$D$8&gt;0),$D$8+($M$3-(G197*calcs!$H$3)),G197&gt;0,$M$3-(G197*calcs!$H$3))</f>
        <v>604.54826102735365</v>
      </c>
      <c r="G198" s="27" cm="1">
        <f t="array" ref="G198">_xlfn.IFS(F198="","",G197-F198&lt;1,0,ISBLANK(F198)=TRUE,"",G197-F198&gt;1,G197-F198)</f>
        <v>180888.24778250456</v>
      </c>
      <c r="H198" s="31">
        <f t="shared" si="3"/>
        <v>311028.91649626778</v>
      </c>
      <c r="I198" s="2" t="str" cm="1">
        <f t="array" ref="I198">_xlfn.IFS(OR(D198="",E198="",F198=""),"",MOD(D198,12)&lt;&gt;0,"",MOD(D198,12)=0,"Year End"&amp;" "&amp;D198/12)</f>
        <v/>
      </c>
      <c r="V198">
        <v>187</v>
      </c>
    </row>
    <row r="199" spans="4:22">
      <c r="D199" s="32">
        <f>IF(V199&lt;=calcs!$F$4,'Loan Calculator'!V199,"")</f>
        <v>188</v>
      </c>
      <c r="E199" s="29" cm="1">
        <f t="array" ref="E199">_xlfn.IFS(F199="","",G198&lt;F198,G198*calcs!$H$3,$D$8&lt;=0,$M$3-F199,$D$8&gt;0,$M$3-F199+$D$8,G198&lt;F198,G199*calcs!$H$3)</f>
        <v>1055.1814453979434</v>
      </c>
      <c r="F199" s="29" cm="1">
        <f t="array" ref="F199">_xlfn.IFS(F198="","",G198=0,"",G198&lt;1,"",G198&lt;F198,G198,AND(G198&gt;0,$D$8&gt;0),$D$8+($M$3-(G198*calcs!$H$3)),G198&gt;0,$M$3-(G198*calcs!$H$3))</f>
        <v>608.07479255001317</v>
      </c>
      <c r="G199" s="29" cm="1">
        <f t="array" ref="G199">_xlfn.IFS(F199="","",G198-F199&lt;1,0,ISBLANK(F199)=TRUE,"",G198-F199&gt;1,G198-F199)</f>
        <v>180280.17298995456</v>
      </c>
      <c r="H199" s="33">
        <f t="shared" si="3"/>
        <v>312692.17273421574</v>
      </c>
      <c r="I199" s="2" t="str" cm="1">
        <f t="array" ref="I199">_xlfn.IFS(OR(D199="",E199="",F199=""),"",MOD(D199,12)&lt;&gt;0,"",MOD(D199,12)=0,"Year End"&amp;" "&amp;D199/12)</f>
        <v/>
      </c>
      <c r="V199">
        <v>188</v>
      </c>
    </row>
    <row r="200" spans="4:22">
      <c r="D200" s="30">
        <f>IF(V200&lt;=calcs!$F$4,'Loan Calculator'!V200,"")</f>
        <v>189</v>
      </c>
      <c r="E200" s="27" cm="1">
        <f t="array" ref="E200">_xlfn.IFS(F200="","",G199&lt;F199,G199*calcs!$H$3,$D$8&lt;=0,$M$3-F200,$D$8&gt;0,$M$3-F200+$D$8,G199&lt;F199,G200*calcs!$H$3)</f>
        <v>1051.6343424414017</v>
      </c>
      <c r="F200" s="27" cm="1">
        <f t="array" ref="F200">_xlfn.IFS(F199="","",G199=0,"",G199&lt;1,"",G199&lt;F199,G199,AND(G199&gt;0,$D$8&gt;0),$D$8+($M$3-(G199*calcs!$H$3)),G199&gt;0,$M$3-(G199*calcs!$H$3))</f>
        <v>611.62189550655489</v>
      </c>
      <c r="G200" s="27" cm="1">
        <f t="array" ref="G200">_xlfn.IFS(F200="","",G199-F200&lt;1,0,ISBLANK(F200)=TRUE,"",G199-F200&gt;1,G199-F200)</f>
        <v>179668.55109444802</v>
      </c>
      <c r="H200" s="31">
        <f t="shared" si="3"/>
        <v>314355.4289721637</v>
      </c>
      <c r="I200" s="2" t="str" cm="1">
        <f t="array" ref="I200">_xlfn.IFS(OR(D200="",E200="",F200=""),"",MOD(D200,12)&lt;&gt;0,"",MOD(D200,12)=0,"Year End"&amp;" "&amp;D200/12)</f>
        <v/>
      </c>
      <c r="V200">
        <v>189</v>
      </c>
    </row>
    <row r="201" spans="4:22">
      <c r="D201" s="32">
        <f>IF(V201&lt;=calcs!$F$4,'Loan Calculator'!V201,"")</f>
        <v>190</v>
      </c>
      <c r="E201" s="29" cm="1">
        <f t="array" ref="E201">_xlfn.IFS(F201="","",G200&lt;F200,G200*calcs!$H$3,$D$8&lt;=0,$M$3-F201,$D$8&gt;0,$M$3-F201+$D$8,G200&lt;F200,G201*calcs!$H$3)</f>
        <v>1048.0665480509467</v>
      </c>
      <c r="F201" s="29" cm="1">
        <f t="array" ref="F201">_xlfn.IFS(F200="","",G200=0,"",G200&lt;1,"",G200&lt;F200,G200,AND(G200&gt;0,$D$8&gt;0),$D$8+($M$3-(G200*calcs!$H$3)),G200&gt;0,$M$3-(G200*calcs!$H$3))</f>
        <v>615.18968989700988</v>
      </c>
      <c r="G201" s="29" cm="1">
        <f t="array" ref="G201">_xlfn.IFS(F201="","",G200-F201&lt;1,0,ISBLANK(F201)=TRUE,"",G200-F201&gt;1,G200-F201)</f>
        <v>179053.36140455102</v>
      </c>
      <c r="H201" s="33">
        <f t="shared" si="3"/>
        <v>316018.68521011167</v>
      </c>
      <c r="I201" s="2" t="str" cm="1">
        <f t="array" ref="I201">_xlfn.IFS(OR(D201="",E201="",F201=""),"",MOD(D201,12)&lt;&gt;0,"",MOD(D201,12)=0,"Year End"&amp;" "&amp;D201/12)</f>
        <v/>
      </c>
      <c r="V201">
        <v>190</v>
      </c>
    </row>
    <row r="202" spans="4:22">
      <c r="D202" s="30">
        <f>IF(V202&lt;=calcs!$F$4,'Loan Calculator'!V202,"")</f>
        <v>191</v>
      </c>
      <c r="E202" s="27" cm="1">
        <f t="array" ref="E202">_xlfn.IFS(F202="","",G201&lt;F201,G201*calcs!$H$3,$D$8&lt;=0,$M$3-F202,$D$8&gt;0,$M$3-F202+$D$8,G201&lt;F201,G202*calcs!$H$3)</f>
        <v>1044.4779415265477</v>
      </c>
      <c r="F202" s="27" cm="1">
        <f t="array" ref="F202">_xlfn.IFS(F201="","",G201=0,"",G201&lt;1,"",G201&lt;F201,G201,AND(G201&gt;0,$D$8&gt;0),$D$8+($M$3-(G201*calcs!$H$3)),G201&gt;0,$M$3-(G201*calcs!$H$3))</f>
        <v>618.77829642140887</v>
      </c>
      <c r="G202" s="27" cm="1">
        <f t="array" ref="G202">_xlfn.IFS(F202="","",G201-F202&lt;1,0,ISBLANK(F202)=TRUE,"",G201-F202&gt;1,G201-F202)</f>
        <v>178434.58310812962</v>
      </c>
      <c r="H202" s="31">
        <f t="shared" si="3"/>
        <v>317681.94144805963</v>
      </c>
      <c r="I202" s="2" t="str" cm="1">
        <f t="array" ref="I202">_xlfn.IFS(OR(D202="",E202="",F202=""),"",MOD(D202,12)&lt;&gt;0,"",MOD(D202,12)=0,"Year End"&amp;" "&amp;D202/12)</f>
        <v/>
      </c>
      <c r="V202">
        <v>191</v>
      </c>
    </row>
    <row r="203" spans="4:22">
      <c r="D203" s="32">
        <f>IF(V203&lt;=calcs!$F$4,'Loan Calculator'!V203,"")</f>
        <v>192</v>
      </c>
      <c r="E203" s="29" cm="1">
        <f t="array" ref="E203">_xlfn.IFS(F203="","",G202&lt;F202,G202*calcs!$H$3,$D$8&lt;=0,$M$3-F203,$D$8&gt;0,$M$3-F203+$D$8,G202&lt;F202,G203*calcs!$H$3)</f>
        <v>1040.8684014640894</v>
      </c>
      <c r="F203" s="29" cm="1">
        <f t="array" ref="F203">_xlfn.IFS(F202="","",G202=0,"",G202&lt;1,"",G202&lt;F202,G202,AND(G202&gt;0,$D$8&gt;0),$D$8+($M$3-(G202*calcs!$H$3)),G202&gt;0,$M$3-(G202*calcs!$H$3))</f>
        <v>622.3878364838672</v>
      </c>
      <c r="G203" s="29" cm="1">
        <f t="array" ref="G203">_xlfn.IFS(F203="","",G202-F203&lt;1,0,ISBLANK(F203)=TRUE,"",G202-F203&gt;1,G202-F203)</f>
        <v>177812.19527164576</v>
      </c>
      <c r="H203" s="33">
        <f t="shared" si="3"/>
        <v>319345.1976860076</v>
      </c>
      <c r="I203" s="2" t="str" cm="1">
        <f t="array" ref="I203">_xlfn.IFS(OR(D203="",E203="",F203=""),"",MOD(D203,12)&lt;&gt;0,"",MOD(D203,12)=0,"Year End"&amp;" "&amp;D203/12)</f>
        <v>Year End 16</v>
      </c>
      <c r="V203">
        <v>192</v>
      </c>
    </row>
    <row r="204" spans="4:22">
      <c r="D204" s="30">
        <f>IF(V204&lt;=calcs!$F$4,'Loan Calculator'!V204,"")</f>
        <v>193</v>
      </c>
      <c r="E204" s="27" cm="1">
        <f t="array" ref="E204">_xlfn.IFS(F204="","",G203&lt;F203,G203*calcs!$H$3,$D$8&lt;=0,$M$3-F204,$D$8&gt;0,$M$3-F204+$D$8,G203&lt;F203,G204*calcs!$H$3)</f>
        <v>1037.2378057512669</v>
      </c>
      <c r="F204" s="27" cm="1">
        <f t="array" ref="F204">_xlfn.IFS(F203="","",G203=0,"",G203&lt;1,"",G203&lt;F203,G203,AND(G203&gt;0,$D$8&gt;0),$D$8+($M$3-(G203*calcs!$H$3)),G203&gt;0,$M$3-(G203*calcs!$H$3))</f>
        <v>626.01843219668967</v>
      </c>
      <c r="G204" s="27" cm="1">
        <f t="array" ref="G204">_xlfn.IFS(F204="","",G203-F204&lt;1,0,ISBLANK(F204)=TRUE,"",G203-F204&gt;1,G203-F204)</f>
        <v>177186.17683944906</v>
      </c>
      <c r="H204" s="31">
        <f t="shared" si="3"/>
        <v>321008.45392395556</v>
      </c>
      <c r="I204" s="2" t="str" cm="1">
        <f t="array" ref="I204">_xlfn.IFS(OR(D204="",E204="",F204=""),"",MOD(D204,12)&lt;&gt;0,"",MOD(D204,12)=0,"Year End"&amp;" "&amp;D204/12)</f>
        <v/>
      </c>
      <c r="V204">
        <v>193</v>
      </c>
    </row>
    <row r="205" spans="4:22">
      <c r="D205" s="32">
        <f>IF(V205&lt;=calcs!$F$4,'Loan Calculator'!V205,"")</f>
        <v>194</v>
      </c>
      <c r="E205" s="29" cm="1">
        <f t="array" ref="E205">_xlfn.IFS(F205="","",G204&lt;F204,G204*calcs!$H$3,$D$8&lt;=0,$M$3-F205,$D$8&gt;0,$M$3-F205+$D$8,G204&lt;F204,G205*calcs!$H$3)</f>
        <v>1033.5860315634529</v>
      </c>
      <c r="F205" s="29" cm="1">
        <f t="array" ref="F205">_xlfn.IFS(F204="","",G204=0,"",G204&lt;1,"",G204&lt;F204,G204,AND(G204&gt;0,$D$8&gt;0),$D$8+($M$3-(G204*calcs!$H$3)),G204&gt;0,$M$3-(G204*calcs!$H$3))</f>
        <v>629.67020638450367</v>
      </c>
      <c r="G205" s="29" cm="1">
        <f t="array" ref="G205">_xlfn.IFS(F205="","",G204-F205&lt;1,0,ISBLANK(F205)=TRUE,"",G204-F205&gt;1,G204-F205)</f>
        <v>176556.50663306456</v>
      </c>
      <c r="H205" s="33">
        <f t="shared" si="3"/>
        <v>322671.71016190352</v>
      </c>
      <c r="I205" s="2" t="str" cm="1">
        <f t="array" ref="I205">_xlfn.IFS(OR(D205="",E205="",F205=""),"",MOD(D205,12)&lt;&gt;0,"",MOD(D205,12)=0,"Year End"&amp;" "&amp;D205/12)</f>
        <v/>
      </c>
      <c r="V205">
        <v>194</v>
      </c>
    </row>
    <row r="206" spans="4:22">
      <c r="D206" s="30">
        <f>IF(V206&lt;=calcs!$F$4,'Loan Calculator'!V206,"")</f>
        <v>195</v>
      </c>
      <c r="E206" s="27" cm="1">
        <f t="array" ref="E206">_xlfn.IFS(F206="","",G205&lt;F205,G205*calcs!$H$3,$D$8&lt;=0,$M$3-F206,$D$8&gt;0,$M$3-F206+$D$8,G205&lt;F205,G206*calcs!$H$3)</f>
        <v>1029.9129553595433</v>
      </c>
      <c r="F206" s="27" cm="1">
        <f t="array" ref="F206">_xlfn.IFS(F205="","",G205=0,"",G205&lt;1,"",G205&lt;F205,G205,AND(G205&gt;0,$D$8&gt;0),$D$8+($M$3-(G205*calcs!$H$3)),G205&gt;0,$M$3-(G205*calcs!$H$3))</f>
        <v>633.34328258841333</v>
      </c>
      <c r="G206" s="27" cm="1">
        <f t="array" ref="G206">_xlfn.IFS(F206="","",G205-F206&lt;1,0,ISBLANK(F206)=TRUE,"",G205-F206&gt;1,G205-F206)</f>
        <v>175923.16335047616</v>
      </c>
      <c r="H206" s="31">
        <f t="shared" ref="H206:H269" si="4">IF(OR(H205=0,H205="",E206="",F206=""),"",H205+E206+F206)</f>
        <v>324334.96639985149</v>
      </c>
      <c r="I206" s="2" t="str" cm="1">
        <f t="array" ref="I206">_xlfn.IFS(OR(D206="",E206="",F206=""),"",MOD(D206,12)&lt;&gt;0,"",MOD(D206,12)=0,"Year End"&amp;" "&amp;D206/12)</f>
        <v/>
      </c>
      <c r="V206">
        <v>195</v>
      </c>
    </row>
    <row r="207" spans="4:22">
      <c r="D207" s="32">
        <f>IF(V207&lt;=calcs!$F$4,'Loan Calculator'!V207,"")</f>
        <v>196</v>
      </c>
      <c r="E207" s="29" cm="1">
        <f t="array" ref="E207">_xlfn.IFS(F207="","",G206&lt;F206,G206*calcs!$H$3,$D$8&lt;=0,$M$3-F207,$D$8&gt;0,$M$3-F207+$D$8,G206&lt;F206,G207*calcs!$H$3)</f>
        <v>1026.2184528777775</v>
      </c>
      <c r="F207" s="29" cm="1">
        <f t="array" ref="F207">_xlfn.IFS(F206="","",G206=0,"",G206&lt;1,"",G206&lt;F206,G206,AND(G206&gt;0,$D$8&gt;0),$D$8+($M$3-(G206*calcs!$H$3)),G206&gt;0,$M$3-(G206*calcs!$H$3))</f>
        <v>637.0377850701791</v>
      </c>
      <c r="G207" s="29" cm="1">
        <f t="array" ref="G207">_xlfn.IFS(F207="","",G206-F207&lt;1,0,ISBLANK(F207)=TRUE,"",G206-F207&gt;1,G206-F207)</f>
        <v>175286.12556540596</v>
      </c>
      <c r="H207" s="33">
        <f t="shared" si="4"/>
        <v>325998.22263779945</v>
      </c>
      <c r="I207" s="2" t="str" cm="1">
        <f t="array" ref="I207">_xlfn.IFS(OR(D207="",E207="",F207=""),"",MOD(D207,12)&lt;&gt;0,"",MOD(D207,12)=0,"Year End"&amp;" "&amp;D207/12)</f>
        <v/>
      </c>
      <c r="V207">
        <v>196</v>
      </c>
    </row>
    <row r="208" spans="4:22">
      <c r="D208" s="30">
        <f>IF(V208&lt;=calcs!$F$4,'Loan Calculator'!V208,"")</f>
        <v>197</v>
      </c>
      <c r="E208" s="27" cm="1">
        <f t="array" ref="E208">_xlfn.IFS(F208="","",G207&lt;F207,G207*calcs!$H$3,$D$8&lt;=0,$M$3-F208,$D$8&gt;0,$M$3-F208+$D$8,G207&lt;F207,G208*calcs!$H$3)</f>
        <v>1022.5023991315348</v>
      </c>
      <c r="F208" s="27" cm="1">
        <f t="array" ref="F208">_xlfn.IFS(F207="","",G207=0,"",G207&lt;1,"",G207&lt;F207,G207,AND(G207&gt;0,$D$8&gt;0),$D$8+($M$3-(G207*calcs!$H$3)),G207&gt;0,$M$3-(G207*calcs!$H$3))</f>
        <v>640.75383881642176</v>
      </c>
      <c r="G208" s="27" cm="1">
        <f t="array" ref="G208">_xlfn.IFS(F208="","",G207-F208&lt;1,0,ISBLANK(F208)=TRUE,"",G207-F208&gt;1,G207-F208)</f>
        <v>174645.37172658954</v>
      </c>
      <c r="H208" s="31">
        <f t="shared" si="4"/>
        <v>327661.47887574742</v>
      </c>
      <c r="I208" s="2" t="str" cm="1">
        <f t="array" ref="I208">_xlfn.IFS(OR(D208="",E208="",F208=""),"",MOD(D208,12)&lt;&gt;0,"",MOD(D208,12)=0,"Year End"&amp;" "&amp;D208/12)</f>
        <v/>
      </c>
      <c r="V208">
        <v>197</v>
      </c>
    </row>
    <row r="209" spans="4:22">
      <c r="D209" s="32">
        <f>IF(V209&lt;=calcs!$F$4,'Loan Calculator'!V209,"")</f>
        <v>198</v>
      </c>
      <c r="E209" s="29" cm="1">
        <f t="array" ref="E209">_xlfn.IFS(F209="","",G208&lt;F208,G208*calcs!$H$3,$D$8&lt;=0,$M$3-F209,$D$8&gt;0,$M$3-F209+$D$8,G208&lt;F208,G209*calcs!$H$3)</f>
        <v>1018.7646684051057</v>
      </c>
      <c r="F209" s="29" cm="1">
        <f t="array" ref="F209">_xlfn.IFS(F208="","",G208=0,"",G208&lt;1,"",G208&lt;F208,G208,AND(G208&gt;0,$D$8&gt;0),$D$8+($M$3-(G208*calcs!$H$3)),G208&gt;0,$M$3-(G208*calcs!$H$3))</f>
        <v>644.49156954285093</v>
      </c>
      <c r="G209" s="29" cm="1">
        <f t="array" ref="G209">_xlfn.IFS(F209="","",G208-F209&lt;1,0,ISBLANK(F209)=TRUE,"",G208-F209&gt;1,G208-F209)</f>
        <v>174000.88015704669</v>
      </c>
      <c r="H209" s="33">
        <f t="shared" si="4"/>
        <v>329324.73511369538</v>
      </c>
      <c r="I209" s="2" t="str" cm="1">
        <f t="array" ref="I209">_xlfn.IFS(OR(D209="",E209="",F209=""),"",MOD(D209,12)&lt;&gt;0,"",MOD(D209,12)=0,"Year End"&amp;" "&amp;D209/12)</f>
        <v/>
      </c>
      <c r="V209">
        <v>198</v>
      </c>
    </row>
    <row r="210" spans="4:22">
      <c r="D210" s="30">
        <f>IF(V210&lt;=calcs!$F$4,'Loan Calculator'!V210,"")</f>
        <v>199</v>
      </c>
      <c r="E210" s="27" cm="1">
        <f t="array" ref="E210">_xlfn.IFS(F210="","",G209&lt;F209,G209*calcs!$H$3,$D$8&lt;=0,$M$3-F210,$D$8&gt;0,$M$3-F210+$D$8,G209&lt;F209,G210*calcs!$H$3)</f>
        <v>1015.005134249439</v>
      </c>
      <c r="F210" s="27" cm="1">
        <f t="array" ref="F210">_xlfn.IFS(F209="","",G209=0,"",G209&lt;1,"",G209&lt;F209,G209,AND(G209&gt;0,$D$8&gt;0),$D$8+($M$3-(G209*calcs!$H$3)),G209&gt;0,$M$3-(G209*calcs!$H$3))</f>
        <v>648.25110369851757</v>
      </c>
      <c r="G210" s="27" cm="1">
        <f t="array" ref="G210">_xlfn.IFS(F210="","",G209-F210&lt;1,0,ISBLANK(F210)=TRUE,"",G209-F210&gt;1,G209-F210)</f>
        <v>173352.62905334818</v>
      </c>
      <c r="H210" s="31">
        <f t="shared" si="4"/>
        <v>330987.99135164334</v>
      </c>
      <c r="I210" s="2" t="str" cm="1">
        <f t="array" ref="I210">_xlfn.IFS(OR(D210="",E210="",F210=""),"",MOD(D210,12)&lt;&gt;0,"",MOD(D210,12)=0,"Year End"&amp;" "&amp;D210/12)</f>
        <v/>
      </c>
      <c r="V210">
        <v>199</v>
      </c>
    </row>
    <row r="211" spans="4:22">
      <c r="D211" s="32">
        <f>IF(V211&lt;=calcs!$F$4,'Loan Calculator'!V211,"")</f>
        <v>200</v>
      </c>
      <c r="E211" s="29" cm="1">
        <f t="array" ref="E211">_xlfn.IFS(F211="","",G210&lt;F210,G210*calcs!$H$3,$D$8&lt;=0,$M$3-F211,$D$8&gt;0,$M$3-F211+$D$8,G210&lt;F210,G211*calcs!$H$3)</f>
        <v>1011.2236694778644</v>
      </c>
      <c r="F211" s="29" cm="1">
        <f t="array" ref="F211">_xlfn.IFS(F210="","",G210=0,"",G210&lt;1,"",G210&lt;F210,G210,AND(G210&gt;0,$D$8&gt;0),$D$8+($M$3-(G210*calcs!$H$3)),G210&gt;0,$M$3-(G210*calcs!$H$3))</f>
        <v>652.0325684700922</v>
      </c>
      <c r="G211" s="29" cm="1">
        <f t="array" ref="G211">_xlfn.IFS(F211="","",G210-F211&lt;1,0,ISBLANK(F211)=TRUE,"",G210-F211&gt;1,G210-F211)</f>
        <v>172700.5964848781</v>
      </c>
      <c r="H211" s="33">
        <f t="shared" si="4"/>
        <v>332651.24758959131</v>
      </c>
      <c r="I211" s="2" t="str" cm="1">
        <f t="array" ref="I211">_xlfn.IFS(OR(D211="",E211="",F211=""),"",MOD(D211,12)&lt;&gt;0,"",MOD(D211,12)=0,"Year End"&amp;" "&amp;D211/12)</f>
        <v/>
      </c>
      <c r="V211">
        <v>200</v>
      </c>
    </row>
    <row r="212" spans="4:22">
      <c r="D212" s="30">
        <f>IF(V212&lt;=calcs!$F$4,'Loan Calculator'!V212,"")</f>
        <v>201</v>
      </c>
      <c r="E212" s="27" cm="1">
        <f t="array" ref="E212">_xlfn.IFS(F212="","",G211&lt;F211,G211*calcs!$H$3,$D$8&lt;=0,$M$3-F212,$D$8&gt;0,$M$3-F212+$D$8,G211&lt;F211,G212*calcs!$H$3)</f>
        <v>1007.4201461617889</v>
      </c>
      <c r="F212" s="27" cm="1">
        <f t="array" ref="F212">_xlfn.IFS(F211="","",G211=0,"",G211&lt;1,"",G211&lt;F211,G211,AND(G211&gt;0,$D$8&gt;0),$D$8+($M$3-(G211*calcs!$H$3)),G211&gt;0,$M$3-(G211*calcs!$H$3))</f>
        <v>655.83609178616769</v>
      </c>
      <c r="G212" s="27" cm="1">
        <f t="array" ref="G212">_xlfn.IFS(F212="","",G211-F212&lt;1,0,ISBLANK(F212)=TRUE,"",G211-F212&gt;1,G211-F212)</f>
        <v>172044.76039309194</v>
      </c>
      <c r="H212" s="31">
        <f t="shared" si="4"/>
        <v>334314.50382753927</v>
      </c>
      <c r="I212" s="2" t="str" cm="1">
        <f t="array" ref="I212">_xlfn.IFS(OR(D212="",E212="",F212=""),"",MOD(D212,12)&lt;&gt;0,"",MOD(D212,12)=0,"Year End"&amp;" "&amp;D212/12)</f>
        <v/>
      </c>
      <c r="V212">
        <v>201</v>
      </c>
    </row>
    <row r="213" spans="4:22">
      <c r="D213" s="32">
        <f>IF(V213&lt;=calcs!$F$4,'Loan Calculator'!V213,"")</f>
        <v>202</v>
      </c>
      <c r="E213" s="29" cm="1">
        <f t="array" ref="E213">_xlfn.IFS(F213="","",G212&lt;F212,G212*calcs!$H$3,$D$8&lt;=0,$M$3-F213,$D$8&gt;0,$M$3-F213+$D$8,G212&lt;F212,G213*calcs!$H$3)</f>
        <v>1003.5944356263697</v>
      </c>
      <c r="F213" s="29" cm="1">
        <f t="array" ref="F213">_xlfn.IFS(F212="","",G212=0,"",G212&lt;1,"",G212&lt;F212,G212,AND(G212&gt;0,$D$8&gt;0),$D$8+($M$3-(G212*calcs!$H$3)),G212&gt;0,$M$3-(G212*calcs!$H$3))</f>
        <v>659.66180232158695</v>
      </c>
      <c r="G213" s="29" cm="1">
        <f t="array" ref="G213">_xlfn.IFS(F213="","",G212-F213&lt;1,0,ISBLANK(F213)=TRUE,"",G212-F213&gt;1,G212-F213)</f>
        <v>171385.09859077036</v>
      </c>
      <c r="H213" s="33">
        <f t="shared" si="4"/>
        <v>335977.76006548724</v>
      </c>
      <c r="I213" s="2" t="str" cm="1">
        <f t="array" ref="I213">_xlfn.IFS(OR(D213="",E213="",F213=""),"",MOD(D213,12)&lt;&gt;0,"",MOD(D213,12)=0,"Year End"&amp;" "&amp;D213/12)</f>
        <v/>
      </c>
      <c r="V213">
        <v>202</v>
      </c>
    </row>
    <row r="214" spans="4:22">
      <c r="D214" s="30">
        <f>IF(V214&lt;=calcs!$F$4,'Loan Calculator'!V214,"")</f>
        <v>203</v>
      </c>
      <c r="E214" s="27" cm="1">
        <f t="array" ref="E214">_xlfn.IFS(F214="","",G213&lt;F213,G213*calcs!$H$3,$D$8&lt;=0,$M$3-F214,$D$8&gt;0,$M$3-F214+$D$8,G213&lt;F213,G214*calcs!$H$3)</f>
        <v>999.74640844616044</v>
      </c>
      <c r="F214" s="27" cm="1">
        <f t="array" ref="F214">_xlfn.IFS(F213="","",G213=0,"",G213&lt;1,"",G213&lt;F213,G213,AND(G213&gt;0,$D$8&gt;0),$D$8+($M$3-(G213*calcs!$H$3)),G213&gt;0,$M$3-(G213*calcs!$H$3))</f>
        <v>663.50982950179616</v>
      </c>
      <c r="G214" s="27" cm="1">
        <f t="array" ref="G214">_xlfn.IFS(F214="","",G213-F214&lt;1,0,ISBLANK(F214)=TRUE,"",G213-F214&gt;1,G213-F214)</f>
        <v>170721.58876126856</v>
      </c>
      <c r="H214" s="31">
        <f t="shared" si="4"/>
        <v>337641.0163034352</v>
      </c>
      <c r="I214" s="2" t="str" cm="1">
        <f t="array" ref="I214">_xlfn.IFS(OR(D214="",E214="",F214=""),"",MOD(D214,12)&lt;&gt;0,"",MOD(D214,12)=0,"Year End"&amp;" "&amp;D214/12)</f>
        <v/>
      </c>
      <c r="V214">
        <v>203</v>
      </c>
    </row>
    <row r="215" spans="4:22">
      <c r="D215" s="32">
        <f>IF(V215&lt;=calcs!$F$4,'Loan Calculator'!V215,"")</f>
        <v>204</v>
      </c>
      <c r="E215" s="29" cm="1">
        <f t="array" ref="E215">_xlfn.IFS(F215="","",G214&lt;F214,G214*calcs!$H$3,$D$8&lt;=0,$M$3-F215,$D$8&gt;0,$M$3-F215+$D$8,G214&lt;F214,G215*calcs!$H$3)</f>
        <v>995.87593444073332</v>
      </c>
      <c r="F215" s="29" cm="1">
        <f t="array" ref="F215">_xlfn.IFS(F214="","",G214=0,"",G214&lt;1,"",G214&lt;F214,G214,AND(G214&gt;0,$D$8&gt;0),$D$8+($M$3-(G214*calcs!$H$3)),G214&gt;0,$M$3-(G214*calcs!$H$3))</f>
        <v>667.38030350722329</v>
      </c>
      <c r="G215" s="29" cm="1">
        <f t="array" ref="G215">_xlfn.IFS(F215="","",G214-F215&lt;1,0,ISBLANK(F215)=TRUE,"",G214-F215&gt;1,G214-F215)</f>
        <v>170054.20845776133</v>
      </c>
      <c r="H215" s="33">
        <f t="shared" si="4"/>
        <v>339304.27254138316</v>
      </c>
      <c r="I215" s="2" t="str" cm="1">
        <f t="array" ref="I215">_xlfn.IFS(OR(D215="",E215="",F215=""),"",MOD(D215,12)&lt;&gt;0,"",MOD(D215,12)=0,"Year End"&amp;" "&amp;D215/12)</f>
        <v>Year End 17</v>
      </c>
      <c r="V215">
        <v>204</v>
      </c>
    </row>
    <row r="216" spans="4:22">
      <c r="D216" s="30">
        <f>IF(V216&lt;=calcs!$F$4,'Loan Calculator'!V216,"")</f>
        <v>205</v>
      </c>
      <c r="E216" s="27" cm="1">
        <f t="array" ref="E216">_xlfn.IFS(F216="","",G215&lt;F215,G215*calcs!$H$3,$D$8&lt;=0,$M$3-F216,$D$8&gt;0,$M$3-F216+$D$8,G215&lt;F215,G216*calcs!$H$3)</f>
        <v>991.98288267027442</v>
      </c>
      <c r="F216" s="27" cm="1">
        <f t="array" ref="F216">_xlfn.IFS(F215="","",G215=0,"",G215&lt;1,"",G215&lt;F215,G215,AND(G215&gt;0,$D$8&gt;0),$D$8+($M$3-(G215*calcs!$H$3)),G215&gt;0,$M$3-(G215*calcs!$H$3))</f>
        <v>671.27335527768219</v>
      </c>
      <c r="G216" s="27" cm="1">
        <f t="array" ref="G216">_xlfn.IFS(F216="","",G215-F216&lt;1,0,ISBLANK(F216)=TRUE,"",G215-F216&gt;1,G215-F216)</f>
        <v>169382.93510248364</v>
      </c>
      <c r="H216" s="31">
        <f t="shared" si="4"/>
        <v>340967.52877933113</v>
      </c>
      <c r="I216" s="2" t="str" cm="1">
        <f t="array" ref="I216">_xlfn.IFS(OR(D216="",E216="",F216=""),"",MOD(D216,12)&lt;&gt;0,"",MOD(D216,12)=0,"Year End"&amp;" "&amp;D216/12)</f>
        <v/>
      </c>
      <c r="V216">
        <v>205</v>
      </c>
    </row>
    <row r="217" spans="4:22">
      <c r="D217" s="32">
        <f>IF(V217&lt;=calcs!$F$4,'Loan Calculator'!V217,"")</f>
        <v>206</v>
      </c>
      <c r="E217" s="29" cm="1">
        <f t="array" ref="E217">_xlfn.IFS(F217="","",G216&lt;F216,G216*calcs!$H$3,$D$8&lt;=0,$M$3-F217,$D$8&gt;0,$M$3-F217+$D$8,G216&lt;F216,G217*calcs!$H$3)</f>
        <v>988.06712143115453</v>
      </c>
      <c r="F217" s="29" cm="1">
        <f t="array" ref="F217">_xlfn.IFS(F216="","",G216=0,"",G216&lt;1,"",G216&lt;F216,G216,AND(G216&gt;0,$D$8&gt;0),$D$8+($M$3-(G216*calcs!$H$3)),G216&gt;0,$M$3-(G216*calcs!$H$3))</f>
        <v>675.18911651680207</v>
      </c>
      <c r="G217" s="29" cm="1">
        <f t="array" ref="G217">_xlfn.IFS(F217="","",G216-F217&lt;1,0,ISBLANK(F217)=TRUE,"",G216-F217&gt;1,G216-F217)</f>
        <v>168707.74598596685</v>
      </c>
      <c r="H217" s="33">
        <f t="shared" si="4"/>
        <v>342630.78501727909</v>
      </c>
      <c r="I217" s="2" t="str" cm="1">
        <f t="array" ref="I217">_xlfn.IFS(OR(D217="",E217="",F217=""),"",MOD(D217,12)&lt;&gt;0,"",MOD(D217,12)=0,"Year End"&amp;" "&amp;D217/12)</f>
        <v/>
      </c>
      <c r="V217">
        <v>206</v>
      </c>
    </row>
    <row r="218" spans="4:22">
      <c r="D218" s="30">
        <f>IF(V218&lt;=calcs!$F$4,'Loan Calculator'!V218,"")</f>
        <v>207</v>
      </c>
      <c r="E218" s="27" cm="1">
        <f t="array" ref="E218">_xlfn.IFS(F218="","",G217&lt;F217,G217*calcs!$H$3,$D$8&lt;=0,$M$3-F218,$D$8&gt;0,$M$3-F218+$D$8,G217&lt;F217,G218*calcs!$H$3)</f>
        <v>984.12851825147334</v>
      </c>
      <c r="F218" s="27" cm="1">
        <f t="array" ref="F218">_xlfn.IFS(F217="","",G217=0,"",G217&lt;1,"",G217&lt;F217,G217,AND(G217&gt;0,$D$8&gt;0),$D$8+($M$3-(G217*calcs!$H$3)),G217&gt;0,$M$3-(G217*calcs!$H$3))</f>
        <v>679.12771969648327</v>
      </c>
      <c r="G218" s="27" cm="1">
        <f t="array" ref="G218">_xlfn.IFS(F218="","",G217-F218&lt;1,0,ISBLANK(F218)=TRUE,"",G217-F218&gt;1,G217-F218)</f>
        <v>168028.61826627035</v>
      </c>
      <c r="H218" s="31">
        <f t="shared" si="4"/>
        <v>344294.04125522706</v>
      </c>
      <c r="I218" s="2" t="str" cm="1">
        <f t="array" ref="I218">_xlfn.IFS(OR(D218="",E218="",F218=""),"",MOD(D218,12)&lt;&gt;0,"",MOD(D218,12)=0,"Year End"&amp;" "&amp;D218/12)</f>
        <v/>
      </c>
      <c r="V218">
        <v>207</v>
      </c>
    </row>
    <row r="219" spans="4:22">
      <c r="D219" s="32">
        <f>IF(V219&lt;=calcs!$F$4,'Loan Calculator'!V219,"")</f>
        <v>208</v>
      </c>
      <c r="E219" s="29" cm="1">
        <f t="array" ref="E219">_xlfn.IFS(F219="","",G218&lt;F218,G218*calcs!$H$3,$D$8&lt;=0,$M$3-F219,$D$8&gt;0,$M$3-F219+$D$8,G218&lt;F218,G219*calcs!$H$3)</f>
        <v>980.1669398865771</v>
      </c>
      <c r="F219" s="29" cm="1">
        <f t="array" ref="F219">_xlfn.IFS(F218="","",G218=0,"",G218&lt;1,"",G218&lt;F218,G218,AND(G218&gt;0,$D$8&gt;0),$D$8+($M$3-(G218*calcs!$H$3)),G218&gt;0,$M$3-(G218*calcs!$H$3))</f>
        <v>683.08929806137951</v>
      </c>
      <c r="G219" s="29" cm="1">
        <f t="array" ref="G219">_xlfn.IFS(F219="","",G218-F219&lt;1,0,ISBLANK(F219)=TRUE,"",G218-F219&gt;1,G218-F219)</f>
        <v>167345.52896820896</v>
      </c>
      <c r="H219" s="33">
        <f t="shared" si="4"/>
        <v>345957.29749317502</v>
      </c>
      <c r="I219" s="2" t="str" cm="1">
        <f t="array" ref="I219">_xlfn.IFS(OR(D219="",E219="",F219=""),"",MOD(D219,12)&lt;&gt;0,"",MOD(D219,12)=0,"Year End"&amp;" "&amp;D219/12)</f>
        <v/>
      </c>
      <c r="V219">
        <v>208</v>
      </c>
    </row>
    <row r="220" spans="4:22">
      <c r="D220" s="30">
        <f>IF(V220&lt;=calcs!$F$4,'Loan Calculator'!V220,"")</f>
        <v>209</v>
      </c>
      <c r="E220" s="27" cm="1">
        <f t="array" ref="E220">_xlfn.IFS(F220="","",G219&lt;F219,G219*calcs!$H$3,$D$8&lt;=0,$M$3-F220,$D$8&gt;0,$M$3-F220+$D$8,G219&lt;F219,G220*calcs!$H$3)</f>
        <v>976.18225231455233</v>
      </c>
      <c r="F220" s="27" cm="1">
        <f t="array" ref="F220">_xlfn.IFS(F219="","",G219=0,"",G219&lt;1,"",G219&lt;F219,G219,AND(G219&gt;0,$D$8&gt;0),$D$8+($M$3-(G219*calcs!$H$3)),G219&gt;0,$M$3-(G219*calcs!$H$3))</f>
        <v>687.07398563340428</v>
      </c>
      <c r="G220" s="27" cm="1">
        <f t="array" ref="G220">_xlfn.IFS(F220="","",G219-F220&lt;1,0,ISBLANK(F220)=TRUE,"",G219-F220&gt;1,G219-F220)</f>
        <v>166658.45498257555</v>
      </c>
      <c r="H220" s="31">
        <f t="shared" si="4"/>
        <v>347620.55373112293</v>
      </c>
      <c r="I220" s="2" t="str" cm="1">
        <f t="array" ref="I220">_xlfn.IFS(OR(D220="",E220="",F220=""),"",MOD(D220,12)&lt;&gt;0,"",MOD(D220,12)=0,"Year End"&amp;" "&amp;D220/12)</f>
        <v/>
      </c>
      <c r="V220">
        <v>209</v>
      </c>
    </row>
    <row r="221" spans="4:22">
      <c r="D221" s="32">
        <f>IF(V221&lt;=calcs!$F$4,'Loan Calculator'!V221,"")</f>
        <v>210</v>
      </c>
      <c r="E221" s="29" cm="1">
        <f t="array" ref="E221">_xlfn.IFS(F221="","",G220&lt;F220,G220*calcs!$H$3,$D$8&lt;=0,$M$3-F221,$D$8&gt;0,$M$3-F221+$D$8,G220&lt;F220,G221*calcs!$H$3)</f>
        <v>972.17432073169073</v>
      </c>
      <c r="F221" s="29" cm="1">
        <f t="array" ref="F221">_xlfn.IFS(F220="","",G220=0,"",G220&lt;1,"",G220&lt;F220,G220,AND(G220&gt;0,$D$8&gt;0),$D$8+($M$3-(G220*calcs!$H$3)),G220&gt;0,$M$3-(G220*calcs!$H$3))</f>
        <v>691.08191721626588</v>
      </c>
      <c r="G221" s="29" cm="1">
        <f t="array" ref="G221">_xlfn.IFS(F221="","",G220-F221&lt;1,0,ISBLANK(F221)=TRUE,"",G220-F221&gt;1,G220-F221)</f>
        <v>165967.37306535928</v>
      </c>
      <c r="H221" s="33">
        <f t="shared" si="4"/>
        <v>349283.80996907089</v>
      </c>
      <c r="I221" s="2" t="str" cm="1">
        <f t="array" ref="I221">_xlfn.IFS(OR(D221="",E221="",F221=""),"",MOD(D221,12)&lt;&gt;0,"",MOD(D221,12)=0,"Year End"&amp;" "&amp;D221/12)</f>
        <v/>
      </c>
      <c r="V221">
        <v>210</v>
      </c>
    </row>
    <row r="222" spans="4:22">
      <c r="D222" s="30">
        <f>IF(V222&lt;=calcs!$F$4,'Loan Calculator'!V222,"")</f>
        <v>211</v>
      </c>
      <c r="E222" s="27" cm="1">
        <f t="array" ref="E222">_xlfn.IFS(F222="","",G221&lt;F221,G221*calcs!$H$3,$D$8&lt;=0,$M$3-F222,$D$8&gt;0,$M$3-F222+$D$8,G221&lt;F221,G222*calcs!$H$3)</f>
        <v>968.14300954792918</v>
      </c>
      <c r="F222" s="27" cm="1">
        <f t="array" ref="F222">_xlfn.IFS(F221="","",G221=0,"",G221&lt;1,"",G221&lt;F221,G221,AND(G221&gt;0,$D$8&gt;0),$D$8+($M$3-(G221*calcs!$H$3)),G221&gt;0,$M$3-(G221*calcs!$H$3))</f>
        <v>695.11322840002742</v>
      </c>
      <c r="G222" s="27" cm="1">
        <f t="array" ref="G222">_xlfn.IFS(F222="","",G221-F222&lt;1,0,ISBLANK(F222)=TRUE,"",G221-F222&gt;1,G221-F222)</f>
        <v>165272.25983695925</v>
      </c>
      <c r="H222" s="31">
        <f t="shared" si="4"/>
        <v>350947.0662070188</v>
      </c>
      <c r="I222" s="2" t="str" cm="1">
        <f t="array" ref="I222">_xlfn.IFS(OR(D222="",E222="",F222=""),"",MOD(D222,12)&lt;&gt;0,"",MOD(D222,12)=0,"Year End"&amp;" "&amp;D222/12)</f>
        <v/>
      </c>
      <c r="V222">
        <v>211</v>
      </c>
    </row>
    <row r="223" spans="4:22">
      <c r="D223" s="32">
        <f>IF(V223&lt;=calcs!$F$4,'Loan Calculator'!V223,"")</f>
        <v>212</v>
      </c>
      <c r="E223" s="29" cm="1">
        <f t="array" ref="E223">_xlfn.IFS(F223="","",G222&lt;F222,G222*calcs!$H$3,$D$8&lt;=0,$M$3-F223,$D$8&gt;0,$M$3-F223+$D$8,G222&lt;F222,G223*calcs!$H$3)</f>
        <v>964.08818238226229</v>
      </c>
      <c r="F223" s="29" cm="1">
        <f t="array" ref="F223">_xlfn.IFS(F222="","",G222=0,"",G222&lt;1,"",G222&lt;F222,G222,AND(G222&gt;0,$D$8&gt;0),$D$8+($M$3-(G222*calcs!$H$3)),G222&gt;0,$M$3-(G222*calcs!$H$3))</f>
        <v>699.16805556569432</v>
      </c>
      <c r="G223" s="29" cm="1">
        <f t="array" ref="G223">_xlfn.IFS(F223="","",G222-F223&lt;1,0,ISBLANK(F223)=TRUE,"",G222-F223&gt;1,G222-F223)</f>
        <v>164573.09178139354</v>
      </c>
      <c r="H223" s="33">
        <f t="shared" si="4"/>
        <v>352610.32244496676</v>
      </c>
      <c r="I223" s="2" t="str" cm="1">
        <f t="array" ref="I223">_xlfn.IFS(OR(D223="",E223="",F223=""),"",MOD(D223,12)&lt;&gt;0,"",MOD(D223,12)=0,"Year End"&amp;" "&amp;D223/12)</f>
        <v/>
      </c>
      <c r="V223">
        <v>212</v>
      </c>
    </row>
    <row r="224" spans="4:22">
      <c r="D224" s="30">
        <f>IF(V224&lt;=calcs!$F$4,'Loan Calculator'!V224,"")</f>
        <v>213</v>
      </c>
      <c r="E224" s="27" cm="1">
        <f t="array" ref="E224">_xlfn.IFS(F224="","",G223&lt;F223,G223*calcs!$H$3,$D$8&lt;=0,$M$3-F224,$D$8&gt;0,$M$3-F224+$D$8,G223&lt;F223,G224*calcs!$H$3)</f>
        <v>960.00970205812905</v>
      </c>
      <c r="F224" s="27" cm="1">
        <f t="array" ref="F224">_xlfn.IFS(F223="","",G223=0,"",G223&lt;1,"",G223&lt;F223,G223,AND(G223&gt;0,$D$8&gt;0),$D$8+($M$3-(G223*calcs!$H$3)),G223&gt;0,$M$3-(G223*calcs!$H$3))</f>
        <v>703.24653588982756</v>
      </c>
      <c r="G224" s="27" cm="1">
        <f t="array" ref="G224">_xlfn.IFS(F224="","",G223-F224&lt;1,0,ISBLANK(F224)=TRUE,"",G223-F224&gt;1,G223-F224)</f>
        <v>163869.8452455037</v>
      </c>
      <c r="H224" s="31">
        <f t="shared" si="4"/>
        <v>354273.57868291467</v>
      </c>
      <c r="I224" s="2" t="str" cm="1">
        <f t="array" ref="I224">_xlfn.IFS(OR(D224="",E224="",F224=""),"",MOD(D224,12)&lt;&gt;0,"",MOD(D224,12)=0,"Year End"&amp;" "&amp;D224/12)</f>
        <v/>
      </c>
      <c r="V224">
        <v>213</v>
      </c>
    </row>
    <row r="225" spans="4:22">
      <c r="D225" s="32">
        <f>IF(V225&lt;=calcs!$F$4,'Loan Calculator'!V225,"")</f>
        <v>214</v>
      </c>
      <c r="E225" s="29" cm="1">
        <f t="array" ref="E225">_xlfn.IFS(F225="","",G224&lt;F224,G224*calcs!$H$3,$D$8&lt;=0,$M$3-F225,$D$8&gt;0,$M$3-F225+$D$8,G224&lt;F224,G225*calcs!$H$3)</f>
        <v>955.90743059877161</v>
      </c>
      <c r="F225" s="29" cm="1">
        <f t="array" ref="F225">_xlfn.IFS(F224="","",G224=0,"",G224&lt;1,"",G224&lt;F224,G224,AND(G224&gt;0,$D$8&gt;0),$D$8+($M$3-(G224*calcs!$H$3)),G224&gt;0,$M$3-(G224*calcs!$H$3))</f>
        <v>707.34880734918499</v>
      </c>
      <c r="G225" s="29" cm="1">
        <f t="array" ref="G225">_xlfn.IFS(F225="","",G224-F225&lt;1,0,ISBLANK(F225)=TRUE,"",G224-F225&gt;1,G224-F225)</f>
        <v>163162.49643815451</v>
      </c>
      <c r="H225" s="33">
        <f t="shared" si="4"/>
        <v>355936.83492086257</v>
      </c>
      <c r="I225" s="2" t="str" cm="1">
        <f t="array" ref="I225">_xlfn.IFS(OR(D225="",E225="",F225=""),"",MOD(D225,12)&lt;&gt;0,"",MOD(D225,12)=0,"Year End"&amp;" "&amp;D225/12)</f>
        <v/>
      </c>
      <c r="V225">
        <v>214</v>
      </c>
    </row>
    <row r="226" spans="4:22">
      <c r="D226" s="30">
        <f>IF(V226&lt;=calcs!$F$4,'Loan Calculator'!V226,"")</f>
        <v>215</v>
      </c>
      <c r="E226" s="27" cm="1">
        <f t="array" ref="E226">_xlfn.IFS(F226="","",G225&lt;F225,G225*calcs!$H$3,$D$8&lt;=0,$M$3-F226,$D$8&gt;0,$M$3-F226+$D$8,G225&lt;F225,G226*calcs!$H$3)</f>
        <v>951.78122922256807</v>
      </c>
      <c r="F226" s="27" cm="1">
        <f t="array" ref="F226">_xlfn.IFS(F225="","",G225=0,"",G225&lt;1,"",G225&lt;F225,G225,AND(G225&gt;0,$D$8&gt;0),$D$8+($M$3-(G225*calcs!$H$3)),G225&gt;0,$M$3-(G225*calcs!$H$3))</f>
        <v>711.47500872538853</v>
      </c>
      <c r="G226" s="27" cm="1">
        <f t="array" ref="G226">_xlfn.IFS(F226="","",G225-F226&lt;1,0,ISBLANK(F226)=TRUE,"",G225-F226&gt;1,G225-F226)</f>
        <v>162451.02142942912</v>
      </c>
      <c r="H226" s="31">
        <f t="shared" si="4"/>
        <v>357600.09115881048</v>
      </c>
      <c r="I226" s="2" t="str" cm="1">
        <f t="array" ref="I226">_xlfn.IFS(OR(D226="",E226="",F226=""),"",MOD(D226,12)&lt;&gt;0,"",MOD(D226,12)=0,"Year End"&amp;" "&amp;D226/12)</f>
        <v/>
      </c>
      <c r="V226">
        <v>215</v>
      </c>
    </row>
    <row r="227" spans="4:22">
      <c r="D227" s="32">
        <f>IF(V227&lt;=calcs!$F$4,'Loan Calculator'!V227,"")</f>
        <v>216</v>
      </c>
      <c r="E227" s="29" cm="1">
        <f t="array" ref="E227">_xlfn.IFS(F227="","",G226&lt;F226,G226*calcs!$H$3,$D$8&lt;=0,$M$3-F227,$D$8&gt;0,$M$3-F227+$D$8,G226&lt;F226,G227*calcs!$H$3)</f>
        <v>947.63095833833654</v>
      </c>
      <c r="F227" s="29" cm="1">
        <f t="array" ref="F227">_xlfn.IFS(F226="","",G226=0,"",G226&lt;1,"",G226&lt;F226,G226,AND(G226&gt;0,$D$8&gt;0),$D$8+($M$3-(G226*calcs!$H$3)),G226&gt;0,$M$3-(G226*calcs!$H$3))</f>
        <v>715.62527960962007</v>
      </c>
      <c r="G227" s="29" cm="1">
        <f t="array" ref="G227">_xlfn.IFS(F227="","",G226-F227&lt;1,0,ISBLANK(F227)=TRUE,"",G226-F227&gt;1,G226-F227)</f>
        <v>161735.39614981951</v>
      </c>
      <c r="H227" s="33">
        <f t="shared" si="4"/>
        <v>359263.34739675844</v>
      </c>
      <c r="I227" s="2" t="str" cm="1">
        <f t="array" ref="I227">_xlfn.IFS(OR(D227="",E227="",F227=""),"",MOD(D227,12)&lt;&gt;0,"",MOD(D227,12)=0,"Year End"&amp;" "&amp;D227/12)</f>
        <v>Year End 18</v>
      </c>
      <c r="V227">
        <v>216</v>
      </c>
    </row>
    <row r="228" spans="4:22">
      <c r="D228" s="30">
        <f>IF(V228&lt;=calcs!$F$4,'Loan Calculator'!V228,"")</f>
        <v>217</v>
      </c>
      <c r="E228" s="27" cm="1">
        <f t="array" ref="E228">_xlfn.IFS(F228="","",G227&lt;F227,G227*calcs!$H$3,$D$8&lt;=0,$M$3-F228,$D$8&gt;0,$M$3-F228+$D$8,G227&lt;F227,G228*calcs!$H$3)</f>
        <v>943.45647754061383</v>
      </c>
      <c r="F228" s="27" cm="1">
        <f t="array" ref="F228">_xlfn.IFS(F227="","",G227=0,"",G227&lt;1,"",G227&lt;F227,G227,AND(G227&gt;0,$D$8&gt;0),$D$8+($M$3-(G227*calcs!$H$3)),G227&gt;0,$M$3-(G227*calcs!$H$3))</f>
        <v>719.79976040734277</v>
      </c>
      <c r="G228" s="27" cm="1">
        <f t="array" ref="G228">_xlfn.IFS(F228="","",G227-F228&lt;1,0,ISBLANK(F228)=TRUE,"",G227-F228&gt;1,G227-F228)</f>
        <v>161015.59638941218</v>
      </c>
      <c r="H228" s="31">
        <f t="shared" si="4"/>
        <v>360926.60363470641</v>
      </c>
      <c r="I228" s="2" t="str" cm="1">
        <f t="array" ref="I228">_xlfn.IFS(OR(D228="",E228="",F228=""),"",MOD(D228,12)&lt;&gt;0,"",MOD(D228,12)=0,"Year End"&amp;" "&amp;D228/12)</f>
        <v/>
      </c>
      <c r="V228">
        <v>217</v>
      </c>
    </row>
    <row r="229" spans="4:22">
      <c r="D229" s="32">
        <f>IF(V229&lt;=calcs!$F$4,'Loan Calculator'!V229,"")</f>
        <v>218</v>
      </c>
      <c r="E229" s="29" cm="1">
        <f t="array" ref="E229">_xlfn.IFS(F229="","",G228&lt;F228,G228*calcs!$H$3,$D$8&lt;=0,$M$3-F229,$D$8&gt;0,$M$3-F229+$D$8,G228&lt;F228,G229*calcs!$H$3)</f>
        <v>939.25764560490438</v>
      </c>
      <c r="F229" s="29" cm="1">
        <f t="array" ref="F229">_xlfn.IFS(F228="","",G228=0,"",G228&lt;1,"",G228&lt;F228,G228,AND(G228&gt;0,$D$8&gt;0),$D$8+($M$3-(G228*calcs!$H$3)),G228&gt;0,$M$3-(G228*calcs!$H$3))</f>
        <v>723.99859234305222</v>
      </c>
      <c r="G229" s="29" cm="1">
        <f t="array" ref="G229">_xlfn.IFS(F229="","",G228-F229&lt;1,0,ISBLANK(F229)=TRUE,"",G228-F229&gt;1,G228-F229)</f>
        <v>160291.59779706912</v>
      </c>
      <c r="H229" s="33">
        <f t="shared" si="4"/>
        <v>362589.85987265437</v>
      </c>
      <c r="I229" s="2" t="str" cm="1">
        <f t="array" ref="I229">_xlfn.IFS(OR(D229="",E229="",F229=""),"",MOD(D229,12)&lt;&gt;0,"",MOD(D229,12)=0,"Year End"&amp;" "&amp;D229/12)</f>
        <v/>
      </c>
      <c r="V229">
        <v>218</v>
      </c>
    </row>
    <row r="230" spans="4:22">
      <c r="D230" s="30">
        <f>IF(V230&lt;=calcs!$F$4,'Loan Calculator'!V230,"")</f>
        <v>219</v>
      </c>
      <c r="E230" s="27" cm="1">
        <f t="array" ref="E230">_xlfn.IFS(F230="","",G229&lt;F229,G229*calcs!$H$3,$D$8&lt;=0,$M$3-F230,$D$8&gt;0,$M$3-F230+$D$8,G229&lt;F229,G230*calcs!$H$3)</f>
        <v>935.03432048290324</v>
      </c>
      <c r="F230" s="27" cm="1">
        <f t="array" ref="F230">_xlfn.IFS(F229="","",G229=0,"",G229&lt;1,"",G229&lt;F229,G229,AND(G229&gt;0,$D$8&gt;0),$D$8+($M$3-(G229*calcs!$H$3)),G229&gt;0,$M$3-(G229*calcs!$H$3))</f>
        <v>728.22191746505337</v>
      </c>
      <c r="G230" s="27" cm="1">
        <f t="array" ref="G230">_xlfn.IFS(F230="","",G229-F230&lt;1,0,ISBLANK(F230)=TRUE,"",G229-F230&gt;1,G229-F230)</f>
        <v>159563.37587960405</v>
      </c>
      <c r="H230" s="31">
        <f t="shared" si="4"/>
        <v>364253.11611060234</v>
      </c>
      <c r="I230" s="2" t="str" cm="1">
        <f t="array" ref="I230">_xlfn.IFS(OR(D230="",E230="",F230=""),"",MOD(D230,12)&lt;&gt;0,"",MOD(D230,12)=0,"Year End"&amp;" "&amp;D230/12)</f>
        <v/>
      </c>
      <c r="V230">
        <v>219</v>
      </c>
    </row>
    <row r="231" spans="4:22">
      <c r="D231" s="32">
        <f>IF(V231&lt;=calcs!$F$4,'Loan Calculator'!V231,"")</f>
        <v>220</v>
      </c>
      <c r="E231" s="29" cm="1">
        <f t="array" ref="E231">_xlfn.IFS(F231="","",G230&lt;F230,G230*calcs!$H$3,$D$8&lt;=0,$M$3-F231,$D$8&gt;0,$M$3-F231+$D$8,G230&lt;F230,G231*calcs!$H$3)</f>
        <v>930.7863592976903</v>
      </c>
      <c r="F231" s="29" cm="1">
        <f t="array" ref="F231">_xlfn.IFS(F230="","",G230=0,"",G230&lt;1,"",G230&lt;F230,G230,AND(G230&gt;0,$D$8&gt;0),$D$8+($M$3-(G230*calcs!$H$3)),G230&gt;0,$M$3-(G230*calcs!$H$3))</f>
        <v>732.46987865026631</v>
      </c>
      <c r="G231" s="29" cm="1">
        <f t="array" ref="G231">_xlfn.IFS(F231="","",G230-F231&lt;1,0,ISBLANK(F231)=TRUE,"",G230-F231&gt;1,G230-F231)</f>
        <v>158830.90600095378</v>
      </c>
      <c r="H231" s="33">
        <f t="shared" si="4"/>
        <v>365916.3723485503</v>
      </c>
      <c r="I231" s="2" t="str" cm="1">
        <f t="array" ref="I231">_xlfn.IFS(OR(D231="",E231="",F231=""),"",MOD(D231,12)&lt;&gt;0,"",MOD(D231,12)=0,"Year End"&amp;" "&amp;D231/12)</f>
        <v/>
      </c>
      <c r="V231">
        <v>220</v>
      </c>
    </row>
    <row r="232" spans="4:22">
      <c r="D232" s="30">
        <f>IF(V232&lt;=calcs!$F$4,'Loan Calculator'!V232,"")</f>
        <v>221</v>
      </c>
      <c r="E232" s="27" cm="1">
        <f t="array" ref="E232">_xlfn.IFS(F232="","",G231&lt;F231,G231*calcs!$H$3,$D$8&lt;=0,$M$3-F232,$D$8&gt;0,$M$3-F232+$D$8,G231&lt;F231,G232*calcs!$H$3)</f>
        <v>926.51361833889712</v>
      </c>
      <c r="F232" s="27" cm="1">
        <f t="array" ref="F232">_xlfn.IFS(F231="","",G231=0,"",G231&lt;1,"",G231&lt;F231,G231,AND(G231&gt;0,$D$8&gt;0),$D$8+($M$3-(G231*calcs!$H$3)),G231&gt;0,$M$3-(G231*calcs!$H$3))</f>
        <v>736.74261960905949</v>
      </c>
      <c r="G232" s="27" cm="1">
        <f t="array" ref="G232">_xlfn.IFS(F232="","",G231-F232&lt;1,0,ISBLANK(F232)=TRUE,"",G231-F232&gt;1,G231-F232)</f>
        <v>158094.16338134473</v>
      </c>
      <c r="H232" s="31">
        <f t="shared" si="4"/>
        <v>367579.62858649826</v>
      </c>
      <c r="I232" s="2" t="str" cm="1">
        <f t="array" ref="I232">_xlfn.IFS(OR(D232="",E232="",F232=""),"",MOD(D232,12)&lt;&gt;0,"",MOD(D232,12)=0,"Year End"&amp;" "&amp;D232/12)</f>
        <v/>
      </c>
      <c r="V232">
        <v>221</v>
      </c>
    </row>
    <row r="233" spans="4:22">
      <c r="D233" s="32">
        <f>IF(V233&lt;=calcs!$F$4,'Loan Calculator'!V233,"")</f>
        <v>222</v>
      </c>
      <c r="E233" s="29" cm="1">
        <f t="array" ref="E233">_xlfn.IFS(F233="","",G232&lt;F232,G232*calcs!$H$3,$D$8&lt;=0,$M$3-F233,$D$8&gt;0,$M$3-F233+$D$8,G232&lt;F232,G233*calcs!$H$3)</f>
        <v>922.21595305784433</v>
      </c>
      <c r="F233" s="29" cm="1">
        <f t="array" ref="F233">_xlfn.IFS(F232="","",G232=0,"",G232&lt;1,"",G232&lt;F232,G232,AND(G232&gt;0,$D$8&gt;0),$D$8+($M$3-(G232*calcs!$H$3)),G232&gt;0,$M$3-(G232*calcs!$H$3))</f>
        <v>741.04028489011228</v>
      </c>
      <c r="G233" s="29" cm="1">
        <f t="array" ref="G233">_xlfn.IFS(F233="","",G232-F233&lt;1,0,ISBLANK(F233)=TRUE,"",G232-F233&gt;1,G232-F233)</f>
        <v>157353.12309645463</v>
      </c>
      <c r="H233" s="33">
        <f t="shared" si="4"/>
        <v>369242.88482444623</v>
      </c>
      <c r="I233" s="2" t="str" cm="1">
        <f t="array" ref="I233">_xlfn.IFS(OR(D233="",E233="",F233=""),"",MOD(D233,12)&lt;&gt;0,"",MOD(D233,12)=0,"Year End"&amp;" "&amp;D233/12)</f>
        <v/>
      </c>
      <c r="V233">
        <v>222</v>
      </c>
    </row>
    <row r="234" spans="4:22">
      <c r="D234" s="30">
        <f>IF(V234&lt;=calcs!$F$4,'Loan Calculator'!V234,"")</f>
        <v>223</v>
      </c>
      <c r="E234" s="27" cm="1">
        <f t="array" ref="E234">_xlfn.IFS(F234="","",G233&lt;F233,G233*calcs!$H$3,$D$8&lt;=0,$M$3-F234,$D$8&gt;0,$M$3-F234+$D$8,G233&lt;F233,G234*calcs!$H$3)</f>
        <v>917.89321806265207</v>
      </c>
      <c r="F234" s="27" cm="1">
        <f t="array" ref="F234">_xlfn.IFS(F233="","",G233=0,"",G233&lt;1,"",G233&lt;F233,G233,AND(G233&gt;0,$D$8&gt;0),$D$8+($M$3-(G233*calcs!$H$3)),G233&gt;0,$M$3-(G233*calcs!$H$3))</f>
        <v>745.36301988530454</v>
      </c>
      <c r="G234" s="27" cm="1">
        <f t="array" ref="G234">_xlfn.IFS(F234="","",G233-F234&lt;1,0,ISBLANK(F234)=TRUE,"",G233-F234&gt;1,G233-F234)</f>
        <v>156607.76007656934</v>
      </c>
      <c r="H234" s="31">
        <f t="shared" si="4"/>
        <v>370906.14106239419</v>
      </c>
      <c r="I234" s="2" t="str" cm="1">
        <f t="array" ref="I234">_xlfn.IFS(OR(D234="",E234="",F234=""),"",MOD(D234,12)&lt;&gt;0,"",MOD(D234,12)=0,"Year End"&amp;" "&amp;D234/12)</f>
        <v/>
      </c>
      <c r="V234">
        <v>223</v>
      </c>
    </row>
    <row r="235" spans="4:22">
      <c r="D235" s="32">
        <f>IF(V235&lt;=calcs!$F$4,'Loan Calculator'!V235,"")</f>
        <v>224</v>
      </c>
      <c r="E235" s="29" cm="1">
        <f t="array" ref="E235">_xlfn.IFS(F235="","",G234&lt;F234,G234*calcs!$H$3,$D$8&lt;=0,$M$3-F235,$D$8&gt;0,$M$3-F235+$D$8,G234&lt;F234,G235*calcs!$H$3)</f>
        <v>913.54526711332119</v>
      </c>
      <c r="F235" s="29" cm="1">
        <f t="array" ref="F235">_xlfn.IFS(F234="","",G234=0,"",G234&lt;1,"",G234&lt;F234,G234,AND(G234&gt;0,$D$8&gt;0),$D$8+($M$3-(G234*calcs!$H$3)),G234&gt;0,$M$3-(G234*calcs!$H$3))</f>
        <v>749.71097083463542</v>
      </c>
      <c r="G235" s="29" cm="1">
        <f t="array" ref="G235">_xlfn.IFS(F235="","",G234-F235&lt;1,0,ISBLANK(F235)=TRUE,"",G234-F235&gt;1,G234-F235)</f>
        <v>155858.04910573471</v>
      </c>
      <c r="H235" s="33">
        <f t="shared" si="4"/>
        <v>372569.39730034216</v>
      </c>
      <c r="I235" s="2" t="str" cm="1">
        <f t="array" ref="I235">_xlfn.IFS(OR(D235="",E235="",F235=""),"",MOD(D235,12)&lt;&gt;0,"",MOD(D235,12)=0,"Year End"&amp;" "&amp;D235/12)</f>
        <v/>
      </c>
      <c r="V235">
        <v>224</v>
      </c>
    </row>
    <row r="236" spans="4:22">
      <c r="D236" s="30">
        <f>IF(V236&lt;=calcs!$F$4,'Loan Calculator'!V236,"")</f>
        <v>225</v>
      </c>
      <c r="E236" s="27" cm="1">
        <f t="array" ref="E236">_xlfn.IFS(F236="","",G235&lt;F235,G235*calcs!$H$3,$D$8&lt;=0,$M$3-F236,$D$8&gt;0,$M$3-F236+$D$8,G235&lt;F235,G236*calcs!$H$3)</f>
        <v>909.17195311678586</v>
      </c>
      <c r="F236" s="27" cm="1">
        <f t="array" ref="F236">_xlfn.IFS(F235="","",G235=0,"",G235&lt;1,"",G235&lt;F235,G235,AND(G235&gt;0,$D$8&gt;0),$D$8+($M$3-(G235*calcs!$H$3)),G235&gt;0,$M$3-(G235*calcs!$H$3))</f>
        <v>754.08428483117075</v>
      </c>
      <c r="G236" s="27" cm="1">
        <f t="array" ref="G236">_xlfn.IFS(F236="","",G235-F236&lt;1,0,ISBLANK(F236)=TRUE,"",G235-F236&gt;1,G235-F236)</f>
        <v>155103.96482090355</v>
      </c>
      <c r="H236" s="31">
        <f t="shared" si="4"/>
        <v>374232.65353829012</v>
      </c>
      <c r="I236" s="2" t="str" cm="1">
        <f t="array" ref="I236">_xlfn.IFS(OR(D236="",E236="",F236=""),"",MOD(D236,12)&lt;&gt;0,"",MOD(D236,12)=0,"Year End"&amp;" "&amp;D236/12)</f>
        <v/>
      </c>
      <c r="K236" s="15"/>
      <c r="L236" s="15"/>
      <c r="V236">
        <v>225</v>
      </c>
    </row>
    <row r="237" spans="4:22">
      <c r="D237" s="32">
        <f>IF(V237&lt;=calcs!$F$4,'Loan Calculator'!V237,"")</f>
        <v>226</v>
      </c>
      <c r="E237" s="29" cm="1">
        <f t="array" ref="E237">_xlfn.IFS(F237="","",G236&lt;F236,G236*calcs!$H$3,$D$8&lt;=0,$M$3-F237,$D$8&gt;0,$M$3-F237+$D$8,G236&lt;F236,G237*calcs!$H$3)</f>
        <v>904.77312812193748</v>
      </c>
      <c r="F237" s="29" cm="1">
        <f t="array" ref="F237">_xlfn.IFS(F236="","",G236=0,"",G236&lt;1,"",G236&lt;F236,G236,AND(G236&gt;0,$D$8&gt;0),$D$8+($M$3-(G236*calcs!$H$3)),G236&gt;0,$M$3-(G236*calcs!$H$3))</f>
        <v>758.48310982601913</v>
      </c>
      <c r="G237" s="29" cm="1">
        <f t="array" ref="G237">_xlfn.IFS(F237="","",G236-F237&lt;1,0,ISBLANK(F237)=TRUE,"",G236-F237&gt;1,G236-F237)</f>
        <v>154345.48171107753</v>
      </c>
      <c r="H237" s="33">
        <f t="shared" si="4"/>
        <v>375895.90977623808</v>
      </c>
      <c r="I237" s="2" t="str" cm="1">
        <f t="array" ref="I237">_xlfn.IFS(OR(D237="",E237="",F237=""),"",MOD(D237,12)&lt;&gt;0,"",MOD(D237,12)=0,"Year End"&amp;" "&amp;D237/12)</f>
        <v/>
      </c>
      <c r="V237">
        <v>226</v>
      </c>
    </row>
    <row r="238" spans="4:22">
      <c r="D238" s="30">
        <f>IF(V238&lt;=calcs!$F$4,'Loan Calculator'!V238,"")</f>
        <v>227</v>
      </c>
      <c r="E238" s="27" cm="1">
        <f t="array" ref="E238">_xlfn.IFS(F238="","",G237&lt;F237,G237*calcs!$H$3,$D$8&lt;=0,$M$3-F238,$D$8&gt;0,$M$3-F238+$D$8,G237&lt;F237,G238*calcs!$H$3)</f>
        <v>900.34864331461904</v>
      </c>
      <c r="F238" s="27" cm="1">
        <f t="array" ref="F238">_xlfn.IFS(F237="","",G237=0,"",G237&lt;1,"",G237&lt;F237,G237,AND(G237&gt;0,$D$8&gt;0),$D$8+($M$3-(G237*calcs!$H$3)),G237&gt;0,$M$3-(G237*calcs!$H$3))</f>
        <v>762.90759463333757</v>
      </c>
      <c r="G238" s="27" cm="1">
        <f t="array" ref="G238">_xlfn.IFS(F238="","",G237-F238&lt;1,0,ISBLANK(F238)=TRUE,"",G237-F238&gt;1,G237-F238)</f>
        <v>153582.57411644419</v>
      </c>
      <c r="H238" s="31">
        <f t="shared" si="4"/>
        <v>377559.16601418605</v>
      </c>
      <c r="I238" s="2" t="str" cm="1">
        <f t="array" ref="I238">_xlfn.IFS(OR(D238="",E238="",F238=""),"",MOD(D238,12)&lt;&gt;0,"",MOD(D238,12)=0,"Year End"&amp;" "&amp;D238/12)</f>
        <v/>
      </c>
      <c r="V238">
        <v>227</v>
      </c>
    </row>
    <row r="239" spans="4:22">
      <c r="D239" s="32">
        <f>IF(V239&lt;=calcs!$F$4,'Loan Calculator'!V239,"")</f>
        <v>228</v>
      </c>
      <c r="E239" s="29" cm="1">
        <f t="array" ref="E239">_xlfn.IFS(F239="","",G238&lt;F238,G238*calcs!$H$3,$D$8&lt;=0,$M$3-F239,$D$8&gt;0,$M$3-F239+$D$8,G238&lt;F238,G239*calcs!$H$3)</f>
        <v>895.8983490125911</v>
      </c>
      <c r="F239" s="29" cm="1">
        <f t="array" ref="F239">_xlfn.IFS(F238="","",G238=0,"",G238&lt;1,"",G238&lt;F238,G238,AND(G238&gt;0,$D$8&gt;0),$D$8+($M$3-(G238*calcs!$H$3)),G238&gt;0,$M$3-(G238*calcs!$H$3))</f>
        <v>767.35788893536551</v>
      </c>
      <c r="G239" s="29" cm="1">
        <f t="array" ref="G239">_xlfn.IFS(F239="","",G238-F239&lt;1,0,ISBLANK(F239)=TRUE,"",G238-F239&gt;1,G238-F239)</f>
        <v>152815.21622750882</v>
      </c>
      <c r="H239" s="33">
        <f t="shared" si="4"/>
        <v>379222.42225213401</v>
      </c>
      <c r="I239" s="2" t="str" cm="1">
        <f t="array" ref="I239">_xlfn.IFS(OR(D239="",E239="",F239=""),"",MOD(D239,12)&lt;&gt;0,"",MOD(D239,12)=0,"Year End"&amp;" "&amp;D239/12)</f>
        <v>Year End 19</v>
      </c>
      <c r="V239">
        <v>228</v>
      </c>
    </row>
    <row r="240" spans="4:22">
      <c r="D240" s="30">
        <f>IF(V240&lt;=calcs!$F$4,'Loan Calculator'!V240,"")</f>
        <v>229</v>
      </c>
      <c r="E240" s="27" cm="1">
        <f t="array" ref="E240">_xlfn.IFS(F240="","",G239&lt;F239,G239*calcs!$H$3,$D$8&lt;=0,$M$3-F240,$D$8&gt;0,$M$3-F240+$D$8,G239&lt;F239,G240*calcs!$H$3)</f>
        <v>891.42209466046813</v>
      </c>
      <c r="F240" s="27" cm="1">
        <f t="array" ref="F240">_xlfn.IFS(F239="","",G239=0,"",G239&lt;1,"",G239&lt;F239,G239,AND(G239&gt;0,$D$8&gt;0),$D$8+($M$3-(G239*calcs!$H$3)),G239&gt;0,$M$3-(G239*calcs!$H$3))</f>
        <v>771.83414328748847</v>
      </c>
      <c r="G240" s="27" cm="1">
        <f t="array" ref="G240">_xlfn.IFS(F240="","",G239-F240&lt;1,0,ISBLANK(F240)=TRUE,"",G239-F240&gt;1,G239-F240)</f>
        <v>152043.38208422132</v>
      </c>
      <c r="H240" s="31">
        <f t="shared" si="4"/>
        <v>380885.67849008198</v>
      </c>
      <c r="I240" s="2" t="str" cm="1">
        <f t="array" ref="I240">_xlfn.IFS(OR(D240="",E240="",F240=""),"",MOD(D240,12)&lt;&gt;0,"",MOD(D240,12)=0,"Year End"&amp;" "&amp;D240/12)</f>
        <v/>
      </c>
      <c r="V240">
        <v>229</v>
      </c>
    </row>
    <row r="241" spans="4:22">
      <c r="D241" s="32">
        <f>IF(V241&lt;=calcs!$F$4,'Loan Calculator'!V241,"")</f>
        <v>230</v>
      </c>
      <c r="E241" s="29" cm="1">
        <f t="array" ref="E241">_xlfn.IFS(F241="","",G240&lt;F240,G240*calcs!$H$3,$D$8&lt;=0,$M$3-F241,$D$8&gt;0,$M$3-F241+$D$8,G240&lt;F240,G241*calcs!$H$3)</f>
        <v>886.91972882462437</v>
      </c>
      <c r="F241" s="29" cm="1">
        <f t="array" ref="F241">_xlfn.IFS(F240="","",G240=0,"",G240&lt;1,"",G240&lt;F240,G240,AND(G240&gt;0,$D$8&gt;0),$D$8+($M$3-(G240*calcs!$H$3)),G240&gt;0,$M$3-(G240*calcs!$H$3))</f>
        <v>776.33650912333223</v>
      </c>
      <c r="G241" s="29" cm="1">
        <f t="array" ref="G241">_xlfn.IFS(F241="","",G240-F241&lt;1,0,ISBLANK(F241)=TRUE,"",G240-F241&gt;1,G240-F241)</f>
        <v>151267.04557509799</v>
      </c>
      <c r="H241" s="33">
        <f t="shared" si="4"/>
        <v>382548.93472802994</v>
      </c>
      <c r="I241" s="2" t="str" cm="1">
        <f t="array" ref="I241">_xlfn.IFS(OR(D241="",E241="",F241=""),"",MOD(D241,12)&lt;&gt;0,"",MOD(D241,12)=0,"Year End"&amp;" "&amp;D241/12)</f>
        <v/>
      </c>
      <c r="V241">
        <v>230</v>
      </c>
    </row>
    <row r="242" spans="4:22">
      <c r="D242" s="30">
        <f>IF(V242&lt;=calcs!$F$4,'Loan Calculator'!V242,"")</f>
        <v>231</v>
      </c>
      <c r="E242" s="27" cm="1">
        <f t="array" ref="E242">_xlfn.IFS(F242="","",G241&lt;F241,G241*calcs!$H$3,$D$8&lt;=0,$M$3-F242,$D$8&gt;0,$M$3-F242+$D$8,G241&lt;F241,G242*calcs!$H$3)</f>
        <v>882.39109918807162</v>
      </c>
      <c r="F242" s="27" cm="1">
        <f t="array" ref="F242">_xlfn.IFS(F241="","",G241=0,"",G241&lt;1,"",G241&lt;F241,G241,AND(G241&gt;0,$D$8&gt;0),$D$8+($M$3-(G241*calcs!$H$3)),G241&gt;0,$M$3-(G241*calcs!$H$3))</f>
        <v>780.86513875988499</v>
      </c>
      <c r="G242" s="27" cm="1">
        <f t="array" ref="G242">_xlfn.IFS(F242="","",G241-F242&lt;1,0,ISBLANK(F242)=TRUE,"",G241-F242&gt;1,G241-F242)</f>
        <v>150486.18043633809</v>
      </c>
      <c r="H242" s="31">
        <f t="shared" si="4"/>
        <v>384212.1909659779</v>
      </c>
      <c r="I242" s="2" t="str" cm="1">
        <f t="array" ref="I242">_xlfn.IFS(OR(D242="",E242="",F242=""),"",MOD(D242,12)&lt;&gt;0,"",MOD(D242,12)=0,"Year End"&amp;" "&amp;D242/12)</f>
        <v/>
      </c>
      <c r="V242">
        <v>231</v>
      </c>
    </row>
    <row r="243" spans="4:22">
      <c r="D243" s="32">
        <f>IF(V243&lt;=calcs!$F$4,'Loan Calculator'!V243,"")</f>
        <v>232</v>
      </c>
      <c r="E243" s="29" cm="1">
        <f t="array" ref="E243">_xlfn.IFS(F243="","",G242&lt;F242,G242*calcs!$H$3,$D$8&lt;=0,$M$3-F243,$D$8&gt;0,$M$3-F243+$D$8,G242&lt;F242,G243*calcs!$H$3)</f>
        <v>877.83605254530562</v>
      </c>
      <c r="F243" s="29" cm="1">
        <f t="array" ref="F243">_xlfn.IFS(F242="","",G242=0,"",G242&lt;1,"",G242&lt;F242,G242,AND(G242&gt;0,$D$8&gt;0),$D$8+($M$3-(G242*calcs!$H$3)),G242&gt;0,$M$3-(G242*calcs!$H$3))</f>
        <v>785.42018540265099</v>
      </c>
      <c r="G243" s="29" cm="1">
        <f t="array" ref="G243">_xlfn.IFS(F243="","",G242-F243&lt;1,0,ISBLANK(F243)=TRUE,"",G242-F243&gt;1,G242-F243)</f>
        <v>149700.76025093545</v>
      </c>
      <c r="H243" s="33">
        <f t="shared" si="4"/>
        <v>385875.44720392587</v>
      </c>
      <c r="I243" s="2" t="str" cm="1">
        <f t="array" ref="I243">_xlfn.IFS(OR(D243="",E243="",F243=""),"",MOD(D243,12)&lt;&gt;0,"",MOD(D243,12)=0,"Year End"&amp;" "&amp;D243/12)</f>
        <v/>
      </c>
      <c r="V243">
        <v>232</v>
      </c>
    </row>
    <row r="244" spans="4:22">
      <c r="D244" s="30">
        <f>IF(V244&lt;=calcs!$F$4,'Loan Calculator'!V244,"")</f>
        <v>233</v>
      </c>
      <c r="E244" s="27" cm="1">
        <f t="array" ref="E244">_xlfn.IFS(F244="","",G243&lt;F243,G243*calcs!$H$3,$D$8&lt;=0,$M$3-F244,$D$8&gt;0,$M$3-F244+$D$8,G243&lt;F243,G244*calcs!$H$3)</f>
        <v>873.25443479712351</v>
      </c>
      <c r="F244" s="27" cm="1">
        <f t="array" ref="F244">_xlfn.IFS(F243="","",G243=0,"",G243&lt;1,"",G243&lt;F243,G243,AND(G243&gt;0,$D$8&gt;0),$D$8+($M$3-(G243*calcs!$H$3)),G243&gt;0,$M$3-(G243*calcs!$H$3))</f>
        <v>790.0018031508331</v>
      </c>
      <c r="G244" s="27" cm="1">
        <f t="array" ref="G244">_xlfn.IFS(F244="","",G243-F244&lt;1,0,ISBLANK(F244)=TRUE,"",G243-F244&gt;1,G243-F244)</f>
        <v>148910.75844778461</v>
      </c>
      <c r="H244" s="31">
        <f t="shared" si="4"/>
        <v>387538.70344187377</v>
      </c>
      <c r="I244" s="2" t="str" cm="1">
        <f t="array" ref="I244">_xlfn.IFS(OR(D244="",E244="",F244=""),"",MOD(D244,12)&lt;&gt;0,"",MOD(D244,12)=0,"Year End"&amp;" "&amp;D244/12)</f>
        <v/>
      </c>
      <c r="V244">
        <v>233</v>
      </c>
    </row>
    <row r="245" spans="4:22">
      <c r="D245" s="32">
        <f>IF(V245&lt;=calcs!$F$4,'Loan Calculator'!V245,"")</f>
        <v>234</v>
      </c>
      <c r="E245" s="29" cm="1">
        <f t="array" ref="E245">_xlfn.IFS(F245="","",G244&lt;F244,G244*calcs!$H$3,$D$8&lt;=0,$M$3-F245,$D$8&gt;0,$M$3-F245+$D$8,G244&lt;F244,G245*calcs!$H$3)</f>
        <v>868.64609094541026</v>
      </c>
      <c r="F245" s="29" cm="1">
        <f t="array" ref="F245">_xlfn.IFS(F244="","",G244=0,"",G244&lt;1,"",G244&lt;F244,G244,AND(G244&gt;0,$D$8&gt;0),$D$8+($M$3-(G244*calcs!$H$3)),G244&gt;0,$M$3-(G244*calcs!$H$3))</f>
        <v>794.61014700254634</v>
      </c>
      <c r="G245" s="29" cm="1">
        <f t="array" ref="G245">_xlfn.IFS(F245="","",G244-F245&lt;1,0,ISBLANK(F245)=TRUE,"",G244-F245&gt;1,G244-F245)</f>
        <v>148116.14830078205</v>
      </c>
      <c r="H245" s="33">
        <f t="shared" si="4"/>
        <v>389201.95967982174</v>
      </c>
      <c r="I245" s="2" t="str" cm="1">
        <f t="array" ref="I245">_xlfn.IFS(OR(D245="",E245="",F245=""),"",MOD(D245,12)&lt;&gt;0,"",MOD(D245,12)=0,"Year End"&amp;" "&amp;D245/12)</f>
        <v/>
      </c>
      <c r="V245">
        <v>234</v>
      </c>
    </row>
    <row r="246" spans="4:22">
      <c r="D246" s="30">
        <f>IF(V246&lt;=calcs!$F$4,'Loan Calculator'!V246,"")</f>
        <v>235</v>
      </c>
      <c r="E246" s="27" cm="1">
        <f t="array" ref="E246">_xlfn.IFS(F246="","",G245&lt;F245,G245*calcs!$H$3,$D$8&lt;=0,$M$3-F246,$D$8&gt;0,$M$3-F246+$D$8,G245&lt;F245,G246*calcs!$H$3)</f>
        <v>864.01086508789535</v>
      </c>
      <c r="F246" s="27" cm="1">
        <f t="array" ref="F246">_xlfn.IFS(F245="","",G245=0,"",G245&lt;1,"",G245&lt;F245,G245,AND(G245&gt;0,$D$8&gt;0),$D$8+($M$3-(G245*calcs!$H$3)),G245&gt;0,$M$3-(G245*calcs!$H$3))</f>
        <v>799.24537286006125</v>
      </c>
      <c r="G246" s="27" cm="1">
        <f t="array" ref="G246">_xlfn.IFS(F246="","",G245-F246&lt;1,0,ISBLANK(F246)=TRUE,"",G245-F246&gt;1,G245-F246)</f>
        <v>147316.902927922</v>
      </c>
      <c r="H246" s="31">
        <f t="shared" si="4"/>
        <v>390865.2159177697</v>
      </c>
      <c r="I246" s="2" t="str" cm="1">
        <f t="array" ref="I246">_xlfn.IFS(OR(D246="",E246="",F246=""),"",MOD(D246,12)&lt;&gt;0,"",MOD(D246,12)=0,"Year End"&amp;" "&amp;D246/12)</f>
        <v/>
      </c>
      <c r="V246">
        <v>235</v>
      </c>
    </row>
    <row r="247" spans="4:22">
      <c r="D247" s="32">
        <f>IF(V247&lt;=calcs!$F$4,'Loan Calculator'!V247,"")</f>
        <v>236</v>
      </c>
      <c r="E247" s="29" cm="1">
        <f t="array" ref="E247">_xlfn.IFS(F247="","",G246&lt;F246,G246*calcs!$H$3,$D$8&lt;=0,$M$3-F247,$D$8&gt;0,$M$3-F247+$D$8,G246&lt;F246,G247*calcs!$H$3)</f>
        <v>859.34860041287834</v>
      </c>
      <c r="F247" s="29" cm="1">
        <f t="array" ref="F247">_xlfn.IFS(F246="","",G246=0,"",G246&lt;1,"",G246&lt;F246,G246,AND(G246&gt;0,$D$8&gt;0),$D$8+($M$3-(G246*calcs!$H$3)),G246&gt;0,$M$3-(G246*calcs!$H$3))</f>
        <v>803.90763753507827</v>
      </c>
      <c r="G247" s="29" cm="1">
        <f t="array" ref="G247">_xlfn.IFS(F247="","",G246-F247&lt;1,0,ISBLANK(F247)=TRUE,"",G246-F247&gt;1,G246-F247)</f>
        <v>146512.99529038693</v>
      </c>
      <c r="H247" s="33">
        <f t="shared" si="4"/>
        <v>392528.47215571767</v>
      </c>
      <c r="I247" s="2" t="str" cm="1">
        <f t="array" ref="I247">_xlfn.IFS(OR(D247="",E247="",F247=""),"",MOD(D247,12)&lt;&gt;0,"",MOD(D247,12)=0,"Year End"&amp;" "&amp;D247/12)</f>
        <v/>
      </c>
      <c r="V247">
        <v>236</v>
      </c>
    </row>
    <row r="248" spans="4:22">
      <c r="D248" s="30">
        <f>IF(V248&lt;=calcs!$F$4,'Loan Calculator'!V248,"")</f>
        <v>237</v>
      </c>
      <c r="E248" s="27" cm="1">
        <f t="array" ref="E248">_xlfn.IFS(F248="","",G247&lt;F247,G247*calcs!$H$3,$D$8&lt;=0,$M$3-F248,$D$8&gt;0,$M$3-F248+$D$8,G247&lt;F247,G248*calcs!$H$3)</f>
        <v>854.65913919392381</v>
      </c>
      <c r="F248" s="27" cm="1">
        <f t="array" ref="F248">_xlfn.IFS(F247="","",G247=0,"",G247&lt;1,"",G247&lt;F247,G247,AND(G247&gt;0,$D$8&gt;0),$D$8+($M$3-(G247*calcs!$H$3)),G247&gt;0,$M$3-(G247*calcs!$H$3))</f>
        <v>808.5970987540328</v>
      </c>
      <c r="G248" s="27" cm="1">
        <f t="array" ref="G248">_xlfn.IFS(F248="","",G247-F248&lt;1,0,ISBLANK(F248)=TRUE,"",G247-F248&gt;1,G247-F248)</f>
        <v>145704.39819163291</v>
      </c>
      <c r="H248" s="31">
        <f t="shared" si="4"/>
        <v>394191.72839366563</v>
      </c>
      <c r="I248" s="2" t="str" cm="1">
        <f t="array" ref="I248">_xlfn.IFS(OR(D248="",E248="",F248=""),"",MOD(D248,12)&lt;&gt;0,"",MOD(D248,12)=0,"Year End"&amp;" "&amp;D248/12)</f>
        <v/>
      </c>
      <c r="V248">
        <v>237</v>
      </c>
    </row>
    <row r="249" spans="4:22">
      <c r="D249" s="32">
        <f>IF(V249&lt;=calcs!$F$4,'Loan Calculator'!V249,"")</f>
        <v>238</v>
      </c>
      <c r="E249" s="29" cm="1">
        <f t="array" ref="E249">_xlfn.IFS(F249="","",G248&lt;F248,G248*calcs!$H$3,$D$8&lt;=0,$M$3-F249,$D$8&gt;0,$M$3-F249+$D$8,G248&lt;F248,G249*calcs!$H$3)</f>
        <v>849.94232278452535</v>
      </c>
      <c r="F249" s="29" cm="1">
        <f t="array" ref="F249">_xlfn.IFS(F248="","",G248=0,"",G248&lt;1,"",G248&lt;F248,G248,AND(G248&gt;0,$D$8&gt;0),$D$8+($M$3-(G248*calcs!$H$3)),G248&gt;0,$M$3-(G248*calcs!$H$3))</f>
        <v>813.31391516343126</v>
      </c>
      <c r="G249" s="29" cm="1">
        <f t="array" ref="G249">_xlfn.IFS(F249="","",G248-F249&lt;1,0,ISBLANK(F249)=TRUE,"",G248-F249&gt;1,G248-F249)</f>
        <v>144891.08427646948</v>
      </c>
      <c r="H249" s="33">
        <f t="shared" si="4"/>
        <v>395854.9846316136</v>
      </c>
      <c r="I249" s="2" t="str" cm="1">
        <f t="array" ref="I249">_xlfn.IFS(OR(D249="",E249="",F249=""),"",MOD(D249,12)&lt;&gt;0,"",MOD(D249,12)=0,"Year End"&amp;" "&amp;D249/12)</f>
        <v/>
      </c>
      <c r="V249">
        <v>238</v>
      </c>
    </row>
    <row r="250" spans="4:22">
      <c r="D250" s="30">
        <f>IF(V250&lt;=calcs!$F$4,'Loan Calculator'!V250,"")</f>
        <v>239</v>
      </c>
      <c r="E250" s="27" cm="1">
        <f t="array" ref="E250">_xlfn.IFS(F250="","",G249&lt;F249,G249*calcs!$H$3,$D$8&lt;=0,$M$3-F250,$D$8&gt;0,$M$3-F250+$D$8,G249&lt;F249,G250*calcs!$H$3)</f>
        <v>845.19799161273863</v>
      </c>
      <c r="F250" s="27" cm="1">
        <f t="array" ref="F250">_xlfn.IFS(F249="","",G249=0,"",G249&lt;1,"",G249&lt;F249,G249,AND(G249&gt;0,$D$8&gt;0),$D$8+($M$3-(G249*calcs!$H$3)),G249&gt;0,$M$3-(G249*calcs!$H$3))</f>
        <v>818.05824633521797</v>
      </c>
      <c r="G250" s="27" cm="1">
        <f t="array" ref="G250">_xlfn.IFS(F250="","",G249-F250&lt;1,0,ISBLANK(F250)=TRUE,"",G249-F250&gt;1,G249-F250)</f>
        <v>144073.02603013426</v>
      </c>
      <c r="H250" s="31">
        <f t="shared" si="4"/>
        <v>397518.2408695615</v>
      </c>
      <c r="I250" s="2" t="str" cm="1">
        <f t="array" ref="I250">_xlfn.IFS(OR(D250="",E250="",F250=""),"",MOD(D250,12)&lt;&gt;0,"",MOD(D250,12)=0,"Year End"&amp;" "&amp;D250/12)</f>
        <v/>
      </c>
      <c r="V250">
        <v>239</v>
      </c>
    </row>
    <row r="251" spans="4:22">
      <c r="D251" s="32">
        <f>IF(V251&lt;=calcs!$F$4,'Loan Calculator'!V251,"")</f>
        <v>240</v>
      </c>
      <c r="E251" s="29" cm="1">
        <f t="array" ref="E251">_xlfn.IFS(F251="","",G250&lt;F250,G250*calcs!$H$3,$D$8&lt;=0,$M$3-F251,$D$8&gt;0,$M$3-F251+$D$8,G250&lt;F250,G251*calcs!$H$3)</f>
        <v>840.42598517578324</v>
      </c>
      <c r="F251" s="29" cm="1">
        <f t="array" ref="F251">_xlfn.IFS(F250="","",G250=0,"",G250&lt;1,"",G250&lt;F250,G250,AND(G250&gt;0,$D$8&gt;0),$D$8+($M$3-(G250*calcs!$H$3)),G250&gt;0,$M$3-(G250*calcs!$H$3))</f>
        <v>822.83025277217337</v>
      </c>
      <c r="G251" s="29" cm="1">
        <f t="array" ref="G251">_xlfn.IFS(F251="","",G250-F251&lt;1,0,ISBLANK(F251)=TRUE,"",G250-F251&gt;1,G250-F251)</f>
        <v>143250.1957773621</v>
      </c>
      <c r="H251" s="33">
        <f t="shared" si="4"/>
        <v>399181.49710750947</v>
      </c>
      <c r="I251" s="2" t="str" cm="1">
        <f t="array" ref="I251">_xlfn.IFS(OR(D251="",E251="",F251=""),"",MOD(D251,12)&lt;&gt;0,"",MOD(D251,12)=0,"Year End"&amp;" "&amp;D251/12)</f>
        <v>Year End 20</v>
      </c>
      <c r="V251">
        <v>240</v>
      </c>
    </row>
    <row r="252" spans="4:22">
      <c r="D252" s="30">
        <f>IF(V252&lt;=calcs!$F$4,'Loan Calculator'!V252,"")</f>
        <v>241</v>
      </c>
      <c r="E252" s="27" cm="1">
        <f t="array" ref="E252">_xlfn.IFS(F252="","",G251&lt;F251,G251*calcs!$H$3,$D$8&lt;=0,$M$3-F252,$D$8&gt;0,$M$3-F252+$D$8,G251&lt;F251,G252*calcs!$H$3)</f>
        <v>835.62614203461226</v>
      </c>
      <c r="F252" s="27" cm="1">
        <f t="array" ref="F252">_xlfn.IFS(F251="","",G251=0,"",G251&lt;1,"",G251&lt;F251,G251,AND(G251&gt;0,$D$8&gt;0),$D$8+($M$3-(G251*calcs!$H$3)),G251&gt;0,$M$3-(G251*calcs!$H$3))</f>
        <v>827.63009591334435</v>
      </c>
      <c r="G252" s="27" cm="1">
        <f t="array" ref="G252">_xlfn.IFS(F252="","",G251-F252&lt;1,0,ISBLANK(F252)=TRUE,"",G251-F252&gt;1,G251-F252)</f>
        <v>142422.56568144876</v>
      </c>
      <c r="H252" s="31">
        <f t="shared" si="4"/>
        <v>400844.75334545743</v>
      </c>
      <c r="I252" s="2" t="str" cm="1">
        <f t="array" ref="I252">_xlfn.IFS(OR(D252="",E252="",F252=""),"",MOD(D252,12)&lt;&gt;0,"",MOD(D252,12)=0,"Year End"&amp;" "&amp;D252/12)</f>
        <v/>
      </c>
      <c r="V252">
        <v>241</v>
      </c>
    </row>
    <row r="253" spans="4:22">
      <c r="D253" s="32">
        <f>IF(V253&lt;=calcs!$F$4,'Loan Calculator'!V253,"")</f>
        <v>242</v>
      </c>
      <c r="E253" s="29" cm="1">
        <f t="array" ref="E253">_xlfn.IFS(F253="","",G252&lt;F252,G252*calcs!$H$3,$D$8&lt;=0,$M$3-F253,$D$8&gt;0,$M$3-F253+$D$8,G252&lt;F252,G253*calcs!$H$3)</f>
        <v>830.79829980845113</v>
      </c>
      <c r="F253" s="29" cm="1">
        <f t="array" ref="F253">_xlfn.IFS(F252="","",G252=0,"",G252&lt;1,"",G252&lt;F252,G252,AND(G252&gt;0,$D$8&gt;0),$D$8+($M$3-(G252*calcs!$H$3)),G252&gt;0,$M$3-(G252*calcs!$H$3))</f>
        <v>832.45793813950547</v>
      </c>
      <c r="G253" s="29" cm="1">
        <f t="array" ref="G253">_xlfn.IFS(F253="","",G252-F253&lt;1,0,ISBLANK(F253)=TRUE,"",G252-F253&gt;1,G252-F253)</f>
        <v>141590.10774330926</v>
      </c>
      <c r="H253" s="33">
        <f t="shared" si="4"/>
        <v>402508.00958340539</v>
      </c>
      <c r="I253" s="2" t="str" cm="1">
        <f t="array" ref="I253">_xlfn.IFS(OR(D253="",E253="",F253=""),"",MOD(D253,12)&lt;&gt;0,"",MOD(D253,12)=0,"Year End"&amp;" "&amp;D253/12)</f>
        <v/>
      </c>
      <c r="V253">
        <v>242</v>
      </c>
    </row>
    <row r="254" spans="4:22">
      <c r="D254" s="30">
        <f>IF(V254&lt;=calcs!$F$4,'Loan Calculator'!V254,"")</f>
        <v>243</v>
      </c>
      <c r="E254" s="27" cm="1">
        <f t="array" ref="E254">_xlfn.IFS(F254="","",G253&lt;F253,G253*calcs!$H$3,$D$8&lt;=0,$M$3-F254,$D$8&gt;0,$M$3-F254+$D$8,G253&lt;F253,G254*calcs!$H$3)</f>
        <v>825.94229516930409</v>
      </c>
      <c r="F254" s="27" cm="1">
        <f t="array" ref="F254">_xlfn.IFS(F253="","",G253=0,"",G253&lt;1,"",G253&lt;F253,G253,AND(G253&gt;0,$D$8&gt;0),$D$8+($M$3-(G253*calcs!$H$3)),G253&gt;0,$M$3-(G253*calcs!$H$3))</f>
        <v>837.31394277865252</v>
      </c>
      <c r="G254" s="27" cm="1">
        <f t="array" ref="G254">_xlfn.IFS(F254="","",G253-F254&lt;1,0,ISBLANK(F254)=TRUE,"",G253-F254&gt;1,G253-F254)</f>
        <v>140752.79380053061</v>
      </c>
      <c r="H254" s="31">
        <f t="shared" si="4"/>
        <v>404171.26582135336</v>
      </c>
      <c r="I254" s="2" t="str" cm="1">
        <f t="array" ref="I254">_xlfn.IFS(OR(D254="",E254="",F254=""),"",MOD(D254,12)&lt;&gt;0,"",MOD(D254,12)=0,"Year End"&amp;" "&amp;D254/12)</f>
        <v/>
      </c>
      <c r="V254">
        <v>243</v>
      </c>
    </row>
    <row r="255" spans="4:22">
      <c r="D255" s="32">
        <f>IF(V255&lt;=calcs!$F$4,'Loan Calculator'!V255,"")</f>
        <v>244</v>
      </c>
      <c r="E255" s="29" cm="1">
        <f t="array" ref="E255">_xlfn.IFS(F255="","",G254&lt;F254,G254*calcs!$H$3,$D$8&lt;=0,$M$3-F255,$D$8&gt;0,$M$3-F255+$D$8,G254&lt;F254,G255*calcs!$H$3)</f>
        <v>821.0579638364286</v>
      </c>
      <c r="F255" s="29" cm="1">
        <f t="array" ref="F255">_xlfn.IFS(F254="","",G254=0,"",G254&lt;1,"",G254&lt;F254,G254,AND(G254&gt;0,$D$8&gt;0),$D$8+($M$3-(G254*calcs!$H$3)),G254&gt;0,$M$3-(G254*calcs!$H$3))</f>
        <v>842.19827411152801</v>
      </c>
      <c r="G255" s="29" cm="1">
        <f t="array" ref="G255">_xlfn.IFS(F255="","",G254-F255&lt;1,0,ISBLANK(F255)=TRUE,"",G254-F255&gt;1,G254-F255)</f>
        <v>139910.59552641909</v>
      </c>
      <c r="H255" s="33">
        <f t="shared" si="4"/>
        <v>405834.52205930132</v>
      </c>
      <c r="I255" s="2" t="str" cm="1">
        <f t="array" ref="I255">_xlfn.IFS(OR(D255="",E255="",F255=""),"",MOD(D255,12)&lt;&gt;0,"",MOD(D255,12)=0,"Year End"&amp;" "&amp;D255/12)</f>
        <v/>
      </c>
      <c r="V255">
        <v>244</v>
      </c>
    </row>
    <row r="256" spans="4:22">
      <c r="D256" s="30">
        <f>IF(V256&lt;=calcs!$F$4,'Loan Calculator'!V256,"")</f>
        <v>245</v>
      </c>
      <c r="E256" s="27" cm="1">
        <f t="array" ref="E256">_xlfn.IFS(F256="","",G255&lt;F255,G255*calcs!$H$3,$D$8&lt;=0,$M$3-F256,$D$8&gt;0,$M$3-F256+$D$8,G255&lt;F255,G256*calcs!$H$3)</f>
        <v>816.14514057077804</v>
      </c>
      <c r="F256" s="27" cm="1">
        <f t="array" ref="F256">_xlfn.IFS(F255="","",G255=0,"",G255&lt;1,"",G255&lt;F255,G255,AND(G255&gt;0,$D$8&gt;0),$D$8+($M$3-(G255*calcs!$H$3)),G255&gt;0,$M$3-(G255*calcs!$H$3))</f>
        <v>847.11109737717857</v>
      </c>
      <c r="G256" s="27" cm="1">
        <f t="array" ref="G256">_xlfn.IFS(F256="","",G255-F256&lt;1,0,ISBLANK(F256)=TRUE,"",G255-F256&gt;1,G255-F256)</f>
        <v>139063.48442904191</v>
      </c>
      <c r="H256" s="31">
        <f t="shared" si="4"/>
        <v>407497.77829724929</v>
      </c>
      <c r="I256" s="2" t="str" cm="1">
        <f t="array" ref="I256">_xlfn.IFS(OR(D256="",E256="",F256=""),"",MOD(D256,12)&lt;&gt;0,"",MOD(D256,12)=0,"Year End"&amp;" "&amp;D256/12)</f>
        <v/>
      </c>
      <c r="V256">
        <v>245</v>
      </c>
    </row>
    <row r="257" spans="4:22">
      <c r="D257" s="32">
        <f>IF(V257&lt;=calcs!$F$4,'Loan Calculator'!V257,"")</f>
        <v>246</v>
      </c>
      <c r="E257" s="29" cm="1">
        <f t="array" ref="E257">_xlfn.IFS(F257="","",G256&lt;F256,G256*calcs!$H$3,$D$8&lt;=0,$M$3-F257,$D$8&gt;0,$M$3-F257+$D$8,G256&lt;F256,G257*calcs!$H$3)</f>
        <v>811.20365916941125</v>
      </c>
      <c r="F257" s="29" cm="1">
        <f t="array" ref="F257">_xlfn.IFS(F256="","",G256=0,"",G256&lt;1,"",G256&lt;F256,G256,AND(G256&gt;0,$D$8&gt;0),$D$8+($M$3-(G256*calcs!$H$3)),G256&gt;0,$M$3-(G256*calcs!$H$3))</f>
        <v>852.05257877854535</v>
      </c>
      <c r="G257" s="29" cm="1">
        <f t="array" ref="G257">_xlfn.IFS(F257="","",G256-F257&lt;1,0,ISBLANK(F257)=TRUE,"",G256-F257&gt;1,G256-F257)</f>
        <v>138211.43185026335</v>
      </c>
      <c r="H257" s="33">
        <f t="shared" si="4"/>
        <v>409161.03453519725</v>
      </c>
      <c r="I257" s="2" t="str" cm="1">
        <f t="array" ref="I257">_xlfn.IFS(OR(D257="",E257="",F257=""),"",MOD(D257,12)&lt;&gt;0,"",MOD(D257,12)=0,"Year End"&amp;" "&amp;D257/12)</f>
        <v/>
      </c>
      <c r="V257">
        <v>246</v>
      </c>
    </row>
    <row r="258" spans="4:22">
      <c r="D258" s="30">
        <f>IF(V258&lt;=calcs!$F$4,'Loan Calculator'!V258,"")</f>
        <v>247</v>
      </c>
      <c r="E258" s="27" cm="1">
        <f t="array" ref="E258">_xlfn.IFS(F258="","",G257&lt;F257,G257*calcs!$H$3,$D$8&lt;=0,$M$3-F258,$D$8&gt;0,$M$3-F258+$D$8,G257&lt;F257,G258*calcs!$H$3)</f>
        <v>806.23335245986959</v>
      </c>
      <c r="F258" s="27" cm="1">
        <f t="array" ref="F258">_xlfn.IFS(F257="","",G257=0,"",G257&lt;1,"",G257&lt;F257,G257,AND(G257&gt;0,$D$8&gt;0),$D$8+($M$3-(G257*calcs!$H$3)),G257&gt;0,$M$3-(G257*calcs!$H$3))</f>
        <v>857.02288548808701</v>
      </c>
      <c r="G258" s="27" cm="1">
        <f t="array" ref="G258">_xlfn.IFS(F258="","",G257-F258&lt;1,0,ISBLANK(F258)=TRUE,"",G257-F258&gt;1,G257-F258)</f>
        <v>137354.40896477527</v>
      </c>
      <c r="H258" s="31">
        <f t="shared" si="4"/>
        <v>410824.29077314521</v>
      </c>
      <c r="I258" s="2" t="str" cm="1">
        <f t="array" ref="I258">_xlfn.IFS(OR(D258="",E258="",F258=""),"",MOD(D258,12)&lt;&gt;0,"",MOD(D258,12)=0,"Year End"&amp;" "&amp;D258/12)</f>
        <v/>
      </c>
      <c r="V258">
        <v>247</v>
      </c>
    </row>
    <row r="259" spans="4:22">
      <c r="D259" s="32">
        <f>IF(V259&lt;=calcs!$F$4,'Loan Calculator'!V259,"")</f>
        <v>248</v>
      </c>
      <c r="E259" s="29" cm="1">
        <f t="array" ref="E259">_xlfn.IFS(F259="","",G258&lt;F258,G258*calcs!$H$3,$D$8&lt;=0,$M$3-F259,$D$8&gt;0,$M$3-F259+$D$8,G258&lt;F258,G259*calcs!$H$3)</f>
        <v>801.23405229452248</v>
      </c>
      <c r="F259" s="29" cm="1">
        <f t="array" ref="F259">_xlfn.IFS(F258="","",G258=0,"",G258&lt;1,"",G258&lt;F258,G258,AND(G258&gt;0,$D$8&gt;0),$D$8+($M$3-(G258*calcs!$H$3)),G258&gt;0,$M$3-(G258*calcs!$H$3))</f>
        <v>862.02218565343412</v>
      </c>
      <c r="G259" s="29" cm="1">
        <f t="array" ref="G259">_xlfn.IFS(F259="","",G258-F259&lt;1,0,ISBLANK(F259)=TRUE,"",G258-F259&gt;1,G258-F259)</f>
        <v>136492.38677912182</v>
      </c>
      <c r="H259" s="33">
        <f t="shared" si="4"/>
        <v>412487.54701109318</v>
      </c>
      <c r="I259" s="2" t="str" cm="1">
        <f t="array" ref="I259">_xlfn.IFS(OR(D259="",E259="",F259=""),"",MOD(D259,12)&lt;&gt;0,"",MOD(D259,12)=0,"Year End"&amp;" "&amp;D259/12)</f>
        <v/>
      </c>
      <c r="V259">
        <v>248</v>
      </c>
    </row>
    <row r="260" spans="4:22">
      <c r="D260" s="30">
        <f>IF(V260&lt;=calcs!$F$4,'Loan Calculator'!V260,"")</f>
        <v>249</v>
      </c>
      <c r="E260" s="27" cm="1">
        <f t="array" ref="E260">_xlfn.IFS(F260="","",G259&lt;F259,G259*calcs!$H$3,$D$8&lt;=0,$M$3-F260,$D$8&gt;0,$M$3-F260+$D$8,G259&lt;F259,G260*calcs!$H$3)</f>
        <v>796.20558954487728</v>
      </c>
      <c r="F260" s="27" cm="1">
        <f t="array" ref="F260">_xlfn.IFS(F259="","",G259=0,"",G259&lt;1,"",G259&lt;F259,G259,AND(G259&gt;0,$D$8&gt;0),$D$8+($M$3-(G259*calcs!$H$3)),G259&gt;0,$M$3-(G259*calcs!$H$3))</f>
        <v>867.05064840307932</v>
      </c>
      <c r="G260" s="27" cm="1">
        <f t="array" ref="G260">_xlfn.IFS(F260="","",G259-F260&lt;1,0,ISBLANK(F260)=TRUE,"",G259-F260&gt;1,G259-F260)</f>
        <v>135625.33613071873</v>
      </c>
      <c r="H260" s="31">
        <f t="shared" si="4"/>
        <v>414150.80324904114</v>
      </c>
      <c r="I260" s="2" t="str" cm="1">
        <f t="array" ref="I260">_xlfn.IFS(OR(D260="",E260="",F260=""),"",MOD(D260,12)&lt;&gt;0,"",MOD(D260,12)=0,"Year End"&amp;" "&amp;D260/12)</f>
        <v/>
      </c>
      <c r="V260">
        <v>249</v>
      </c>
    </row>
    <row r="261" spans="4:22">
      <c r="D261" s="32">
        <f>IF(V261&lt;=calcs!$F$4,'Loan Calculator'!V261,"")</f>
        <v>250</v>
      </c>
      <c r="E261" s="29" cm="1">
        <f t="array" ref="E261">_xlfn.IFS(F261="","",G260&lt;F260,G260*calcs!$H$3,$D$8&lt;=0,$M$3-F261,$D$8&gt;0,$M$3-F261+$D$8,G260&lt;F260,G261*calcs!$H$3)</f>
        <v>791.14779409585924</v>
      </c>
      <c r="F261" s="29" cm="1">
        <f t="array" ref="F261">_xlfn.IFS(F260="","",G260=0,"",G260&lt;1,"",G260&lt;F260,G260,AND(G260&gt;0,$D$8&gt;0),$D$8+($M$3-(G260*calcs!$H$3)),G260&gt;0,$M$3-(G260*calcs!$H$3))</f>
        <v>872.10844385209737</v>
      </c>
      <c r="G261" s="29" cm="1">
        <f t="array" ref="G261">_xlfn.IFS(F261="","",G260-F261&lt;1,0,ISBLANK(F261)=TRUE,"",G260-F261&gt;1,G260-F261)</f>
        <v>134753.22768686662</v>
      </c>
      <c r="H261" s="33">
        <f t="shared" si="4"/>
        <v>415814.05948698911</v>
      </c>
      <c r="I261" s="2" t="str" cm="1">
        <f t="array" ref="I261">_xlfn.IFS(OR(D261="",E261="",F261=""),"",MOD(D261,12)&lt;&gt;0,"",MOD(D261,12)=0,"Year End"&amp;" "&amp;D261/12)</f>
        <v/>
      </c>
      <c r="V261">
        <v>250</v>
      </c>
    </row>
    <row r="262" spans="4:22">
      <c r="D262" s="30">
        <f>IF(V262&lt;=calcs!$F$4,'Loan Calculator'!V262,"")</f>
        <v>251</v>
      </c>
      <c r="E262" s="27" cm="1">
        <f t="array" ref="E262">_xlfn.IFS(F262="","",G261&lt;F261,G261*calcs!$H$3,$D$8&lt;=0,$M$3-F262,$D$8&gt;0,$M$3-F262+$D$8,G261&lt;F261,G262*calcs!$H$3)</f>
        <v>786.0604948400553</v>
      </c>
      <c r="F262" s="27" cm="1">
        <f t="array" ref="F262">_xlfn.IFS(F261="","",G261=0,"",G261&lt;1,"",G261&lt;F261,G261,AND(G261&gt;0,$D$8&gt;0),$D$8+($M$3-(G261*calcs!$H$3)),G261&gt;0,$M$3-(G261*calcs!$H$3))</f>
        <v>877.19574310790131</v>
      </c>
      <c r="G262" s="27" cm="1">
        <f t="array" ref="G262">_xlfn.IFS(F262="","",G261-F262&lt;1,0,ISBLANK(F262)=TRUE,"",G261-F262&gt;1,G261-F262)</f>
        <v>133876.03194375872</v>
      </c>
      <c r="H262" s="31">
        <f t="shared" si="4"/>
        <v>417477.31572493701</v>
      </c>
      <c r="I262" s="2" t="str" cm="1">
        <f t="array" ref="I262">_xlfn.IFS(OR(D262="",E262="",F262=""),"",MOD(D262,12)&lt;&gt;0,"",MOD(D262,12)=0,"Year End"&amp;" "&amp;D262/12)</f>
        <v/>
      </c>
      <c r="V262">
        <v>251</v>
      </c>
    </row>
    <row r="263" spans="4:22">
      <c r="D263" s="32">
        <f>IF(V263&lt;=calcs!$F$4,'Loan Calculator'!V263,"")</f>
        <v>252</v>
      </c>
      <c r="E263" s="29" cm="1">
        <f t="array" ref="E263">_xlfn.IFS(F263="","",G262&lt;F262,G262*calcs!$H$3,$D$8&lt;=0,$M$3-F263,$D$8&gt;0,$M$3-F263+$D$8,G262&lt;F262,G263*calcs!$H$3)</f>
        <v>780.94351967192586</v>
      </c>
      <c r="F263" s="29" cm="1">
        <f t="array" ref="F263">_xlfn.IFS(F262="","",G262=0,"",G262&lt;1,"",G262&lt;F262,G262,AND(G262&gt;0,$D$8&gt;0),$D$8+($M$3-(G262*calcs!$H$3)),G262&gt;0,$M$3-(G262*calcs!$H$3))</f>
        <v>882.31271827603075</v>
      </c>
      <c r="G263" s="29" cm="1">
        <f t="array" ref="G263">_xlfn.IFS(F263="","",G262-F263&lt;1,0,ISBLANK(F263)=TRUE,"",G262-F263&gt;1,G262-F263)</f>
        <v>132993.7192254827</v>
      </c>
      <c r="H263" s="33">
        <f t="shared" si="4"/>
        <v>419140.57196288498</v>
      </c>
      <c r="I263" s="2" t="str" cm="1">
        <f t="array" ref="I263">_xlfn.IFS(OR(D263="",E263="",F263=""),"",MOD(D263,12)&lt;&gt;0,"",MOD(D263,12)=0,"Year End"&amp;" "&amp;D263/12)</f>
        <v>Year End 21</v>
      </c>
      <c r="V263">
        <v>252</v>
      </c>
    </row>
    <row r="264" spans="4:22">
      <c r="D264" s="30">
        <f>IF(V264&lt;=calcs!$F$4,'Loan Calculator'!V264,"")</f>
        <v>253</v>
      </c>
      <c r="E264" s="27" cm="1">
        <f t="array" ref="E264">_xlfn.IFS(F264="","",G263&lt;F263,G263*calcs!$H$3,$D$8&lt;=0,$M$3-F264,$D$8&gt;0,$M$3-F264+$D$8,G263&lt;F263,G264*calcs!$H$3)</f>
        <v>775.7966954819824</v>
      </c>
      <c r="F264" s="27" cm="1">
        <f t="array" ref="F264">_xlfn.IFS(F263="","",G263=0,"",G263&lt;1,"",G263&lt;F263,G263,AND(G263&gt;0,$D$8&gt;0),$D$8+($M$3-(G263*calcs!$H$3)),G263&gt;0,$M$3-(G263*calcs!$H$3))</f>
        <v>887.45954246597421</v>
      </c>
      <c r="G264" s="27" cm="1">
        <f t="array" ref="G264">_xlfn.IFS(F264="","",G263-F264&lt;1,0,ISBLANK(F264)=TRUE,"",G263-F264&gt;1,G263-F264)</f>
        <v>132106.25968301672</v>
      </c>
      <c r="H264" s="31">
        <f t="shared" si="4"/>
        <v>420803.82820083294</v>
      </c>
      <c r="I264" s="2" t="str" cm="1">
        <f t="array" ref="I264">_xlfn.IFS(OR(D264="",E264="",F264=""),"",MOD(D264,12)&lt;&gt;0,"",MOD(D264,12)=0,"Year End"&amp;" "&amp;D264/12)</f>
        <v/>
      </c>
      <c r="V264">
        <v>253</v>
      </c>
    </row>
    <row r="265" spans="4:22">
      <c r="D265" s="32">
        <f>IF(V265&lt;=calcs!$F$4,'Loan Calculator'!V265,"")</f>
        <v>254</v>
      </c>
      <c r="E265" s="29" cm="1">
        <f t="array" ref="E265">_xlfn.IFS(F265="","",G264&lt;F264,G264*calcs!$H$3,$D$8&lt;=0,$M$3-F265,$D$8&gt;0,$M$3-F265+$D$8,G264&lt;F264,G265*calcs!$H$3)</f>
        <v>770.61984815093092</v>
      </c>
      <c r="F265" s="29" cm="1">
        <f t="array" ref="F265">_xlfn.IFS(F264="","",G264=0,"",G264&lt;1,"",G264&lt;F264,G264,AND(G264&gt;0,$D$8&gt;0),$D$8+($M$3-(G264*calcs!$H$3)),G264&gt;0,$M$3-(G264*calcs!$H$3))</f>
        <v>892.63638979702569</v>
      </c>
      <c r="G265" s="29" cm="1">
        <f t="array" ref="G265">_xlfn.IFS(F265="","",G264-F265&lt;1,0,ISBLANK(F265)=TRUE,"",G264-F265&gt;1,G264-F265)</f>
        <v>131213.62329321969</v>
      </c>
      <c r="H265" s="33">
        <f t="shared" si="4"/>
        <v>422467.0844387809</v>
      </c>
      <c r="I265" s="2" t="str" cm="1">
        <f t="array" ref="I265">_xlfn.IFS(OR(D265="",E265="",F265=""),"",MOD(D265,12)&lt;&gt;0,"",MOD(D265,12)=0,"Year End"&amp;" "&amp;D265/12)</f>
        <v/>
      </c>
      <c r="V265">
        <v>254</v>
      </c>
    </row>
    <row r="266" spans="4:22">
      <c r="D266" s="30">
        <f>IF(V266&lt;=calcs!$F$4,'Loan Calculator'!V266,"")</f>
        <v>255</v>
      </c>
      <c r="E266" s="27" cm="1">
        <f t="array" ref="E266">_xlfn.IFS(F266="","",G265&lt;F265,G265*calcs!$H$3,$D$8&lt;=0,$M$3-F266,$D$8&gt;0,$M$3-F266+$D$8,G265&lt;F265,G266*calcs!$H$3)</f>
        <v>765.41280254378159</v>
      </c>
      <c r="F266" s="27" cm="1">
        <f t="array" ref="F266">_xlfn.IFS(F265="","",G265=0,"",G265&lt;1,"",G265&lt;F265,G265,AND(G265&gt;0,$D$8&gt;0),$D$8+($M$3-(G265*calcs!$H$3)),G265&gt;0,$M$3-(G265*calcs!$H$3))</f>
        <v>897.84343540417501</v>
      </c>
      <c r="G266" s="27" cm="1">
        <f t="array" ref="G266">_xlfn.IFS(F266="","",G265-F266&lt;1,0,ISBLANK(F266)=TRUE,"",G265-F266&gt;1,G265-F266)</f>
        <v>130315.77985781551</v>
      </c>
      <c r="H266" s="31">
        <f t="shared" si="4"/>
        <v>424130.34067672887</v>
      </c>
      <c r="I266" s="2" t="str" cm="1">
        <f t="array" ref="I266">_xlfn.IFS(OR(D266="",E266="",F266=""),"",MOD(D266,12)&lt;&gt;0,"",MOD(D266,12)=0,"Year End"&amp;" "&amp;D266/12)</f>
        <v/>
      </c>
      <c r="V266">
        <v>255</v>
      </c>
    </row>
    <row r="267" spans="4:22">
      <c r="D267" s="32">
        <f>IF(V267&lt;=calcs!$F$4,'Loan Calculator'!V267,"")</f>
        <v>256</v>
      </c>
      <c r="E267" s="29" cm="1">
        <f t="array" ref="E267">_xlfn.IFS(F267="","",G266&lt;F266,G266*calcs!$H$3,$D$8&lt;=0,$M$3-F267,$D$8&gt;0,$M$3-F267+$D$8,G266&lt;F266,G267*calcs!$H$3)</f>
        <v>760.17538250392386</v>
      </c>
      <c r="F267" s="29" cm="1">
        <f t="array" ref="F267">_xlfn.IFS(F266="","",G266=0,"",G266&lt;1,"",G266&lt;F266,G266,AND(G266&gt;0,$D$8&gt;0),$D$8+($M$3-(G266*calcs!$H$3)),G266&gt;0,$M$3-(G266*calcs!$H$3))</f>
        <v>903.08085544403275</v>
      </c>
      <c r="G267" s="29" cm="1">
        <f t="array" ref="G267">_xlfn.IFS(F267="","",G266-F267&lt;1,0,ISBLANK(F267)=TRUE,"",G266-F267&gt;1,G266-F267)</f>
        <v>129412.69900237148</v>
      </c>
      <c r="H267" s="33">
        <f t="shared" si="4"/>
        <v>425793.59691467683</v>
      </c>
      <c r="I267" s="2" t="str" cm="1">
        <f t="array" ref="I267">_xlfn.IFS(OR(D267="",E267="",F267=""),"",MOD(D267,12)&lt;&gt;0,"",MOD(D267,12)=0,"Year End"&amp;" "&amp;D267/12)</f>
        <v/>
      </c>
      <c r="V267">
        <v>256</v>
      </c>
    </row>
    <row r="268" spans="4:22">
      <c r="D268" s="30">
        <f>IF(V268&lt;=calcs!$F$4,'Loan Calculator'!V268,"")</f>
        <v>257</v>
      </c>
      <c r="E268" s="27" cm="1">
        <f t="array" ref="E268">_xlfn.IFS(F268="","",G267&lt;F267,G267*calcs!$H$3,$D$8&lt;=0,$M$3-F268,$D$8&gt;0,$M$3-F268+$D$8,G267&lt;F267,G268*calcs!$H$3)</f>
        <v>754.90741084716694</v>
      </c>
      <c r="F268" s="27" cm="1">
        <f t="array" ref="F268">_xlfn.IFS(F267="","",G267=0,"",G267&lt;1,"",G267&lt;F267,G267,AND(G267&gt;0,$D$8&gt;0),$D$8+($M$3-(G267*calcs!$H$3)),G267&gt;0,$M$3-(G267*calcs!$H$3))</f>
        <v>908.34882710078966</v>
      </c>
      <c r="G268" s="27" cm="1">
        <f t="array" ref="G268">_xlfn.IFS(F268="","",G267-F268&lt;1,0,ISBLANK(F268)=TRUE,"",G267-F268&gt;1,G267-F268)</f>
        <v>128504.35017527068</v>
      </c>
      <c r="H268" s="31">
        <f t="shared" si="4"/>
        <v>427456.85315262474</v>
      </c>
      <c r="I268" s="2" t="str" cm="1">
        <f t="array" ref="I268">_xlfn.IFS(OR(D268="",E268="",F268=""),"",MOD(D268,12)&lt;&gt;0,"",MOD(D268,12)=0,"Year End"&amp;" "&amp;D268/12)</f>
        <v/>
      </c>
      <c r="V268">
        <v>257</v>
      </c>
    </row>
    <row r="269" spans="4:22">
      <c r="D269" s="32">
        <f>IF(V269&lt;=calcs!$F$4,'Loan Calculator'!V269,"")</f>
        <v>258</v>
      </c>
      <c r="E269" s="29" cm="1">
        <f t="array" ref="E269">_xlfn.IFS(F269="","",G268&lt;F268,G268*calcs!$H$3,$D$8&lt;=0,$M$3-F269,$D$8&gt;0,$M$3-F269+$D$8,G268&lt;F268,G269*calcs!$H$3)</f>
        <v>749.60870935574565</v>
      </c>
      <c r="F269" s="29" cm="1">
        <f t="array" ref="F269">_xlfn.IFS(F268="","",G268=0,"",G268&lt;1,"",G268&lt;F268,G268,AND(G268&gt;0,$D$8&gt;0),$D$8+($M$3-(G268*calcs!$H$3)),G268&gt;0,$M$3-(G268*calcs!$H$3))</f>
        <v>913.64752859221096</v>
      </c>
      <c r="G269" s="29" cm="1">
        <f t="array" ref="G269">_xlfn.IFS(F269="","",G268-F269&lt;1,0,ISBLANK(F269)=TRUE,"",G268-F269&gt;1,G268-F269)</f>
        <v>127590.70264667847</v>
      </c>
      <c r="H269" s="33">
        <f t="shared" si="4"/>
        <v>429120.1093905727</v>
      </c>
      <c r="I269" s="2" t="str" cm="1">
        <f t="array" ref="I269">_xlfn.IFS(OR(D269="",E269="",F269=""),"",MOD(D269,12)&lt;&gt;0,"",MOD(D269,12)=0,"Year End"&amp;" "&amp;D269/12)</f>
        <v/>
      </c>
      <c r="V269">
        <v>258</v>
      </c>
    </row>
    <row r="270" spans="4:22">
      <c r="D270" s="30">
        <f>IF(V270&lt;=calcs!$F$4,'Loan Calculator'!V270,"")</f>
        <v>259</v>
      </c>
      <c r="E270" s="27" cm="1">
        <f t="array" ref="E270">_xlfn.IFS(F270="","",G269&lt;F269,G269*calcs!$H$3,$D$8&lt;=0,$M$3-F270,$D$8&gt;0,$M$3-F270+$D$8,G269&lt;F269,G270*calcs!$H$3)</f>
        <v>744.27909877229115</v>
      </c>
      <c r="F270" s="27" cm="1">
        <f t="array" ref="F270">_xlfn.IFS(F269="","",G269=0,"",G269&lt;1,"",G269&lt;F269,G269,AND(G269&gt;0,$D$8&gt;0),$D$8+($M$3-(G269*calcs!$H$3)),G269&gt;0,$M$3-(G269*calcs!$H$3))</f>
        <v>918.97713917566546</v>
      </c>
      <c r="G270" s="27" cm="1">
        <f t="array" ref="G270">_xlfn.IFS(F270="","",G269-F270&lt;1,0,ISBLANK(F270)=TRUE,"",G269-F270&gt;1,G269-F270)</f>
        <v>126671.72550750281</v>
      </c>
      <c r="H270" s="31">
        <f t="shared" ref="H270:H333" si="5">IF(OR(H269=0,H269="",E270="",F270=""),"",H269+E270+F270)</f>
        <v>430783.36562852061</v>
      </c>
      <c r="I270" s="2" t="str" cm="1">
        <f t="array" ref="I270">_xlfn.IFS(OR(D270="",E270="",F270=""),"",MOD(D270,12)&lt;&gt;0,"",MOD(D270,12)=0,"Year End"&amp;" "&amp;D270/12)</f>
        <v/>
      </c>
      <c r="V270">
        <v>259</v>
      </c>
    </row>
    <row r="271" spans="4:22">
      <c r="D271" s="32">
        <f>IF(V271&lt;=calcs!$F$4,'Loan Calculator'!V271,"")</f>
        <v>260</v>
      </c>
      <c r="E271" s="29" cm="1">
        <f t="array" ref="E271">_xlfn.IFS(F271="","",G270&lt;F270,G270*calcs!$H$3,$D$8&lt;=0,$M$3-F271,$D$8&gt;0,$M$3-F271+$D$8,G270&lt;F270,G271*calcs!$H$3)</f>
        <v>738.91839879376641</v>
      </c>
      <c r="F271" s="29" cm="1">
        <f t="array" ref="F271">_xlfn.IFS(F270="","",G270=0,"",G270&lt;1,"",G270&lt;F270,G270,AND(G270&gt;0,$D$8&gt;0),$D$8+($M$3-(G270*calcs!$H$3)),G270&gt;0,$M$3-(G270*calcs!$H$3))</f>
        <v>924.33783915419019</v>
      </c>
      <c r="G271" s="29" cm="1">
        <f t="array" ref="G271">_xlfn.IFS(F271="","",G270-F271&lt;1,0,ISBLANK(F271)=TRUE,"",G270-F271&gt;1,G270-F271)</f>
        <v>125747.38766834862</v>
      </c>
      <c r="H271" s="33">
        <f t="shared" si="5"/>
        <v>432446.62186646857</v>
      </c>
      <c r="I271" s="2" t="str" cm="1">
        <f t="array" ref="I271">_xlfn.IFS(OR(D271="",E271="",F271=""),"",MOD(D271,12)&lt;&gt;0,"",MOD(D271,12)=0,"Year End"&amp;" "&amp;D271/12)</f>
        <v/>
      </c>
      <c r="V271">
        <v>260</v>
      </c>
    </row>
    <row r="272" spans="4:22">
      <c r="D272" s="30">
        <f>IF(V272&lt;=calcs!$F$4,'Loan Calculator'!V272,"")</f>
        <v>261</v>
      </c>
      <c r="E272" s="27" cm="1">
        <f t="array" ref="E272">_xlfn.IFS(F272="","",G271&lt;F271,G271*calcs!$H$3,$D$8&lt;=0,$M$3-F272,$D$8&gt;0,$M$3-F272+$D$8,G271&lt;F271,G272*calcs!$H$3)</f>
        <v>733.52642806536699</v>
      </c>
      <c r="F272" s="27" cm="1">
        <f t="array" ref="F272">_xlfn.IFS(F271="","",G271=0,"",G271&lt;1,"",G271&lt;F271,G271,AND(G271&gt;0,$D$8&gt;0),$D$8+($M$3-(G271*calcs!$H$3)),G271&gt;0,$M$3-(G271*calcs!$H$3))</f>
        <v>929.72980988258962</v>
      </c>
      <c r="G272" s="27" cm="1">
        <f t="array" ref="G272">_xlfn.IFS(F272="","",G271-F272&lt;1,0,ISBLANK(F272)=TRUE,"",G271-F272&gt;1,G271-F272)</f>
        <v>124817.65785846603</v>
      </c>
      <c r="H272" s="31">
        <f t="shared" si="5"/>
        <v>434109.87810441654</v>
      </c>
      <c r="I272" s="2" t="str" cm="1">
        <f t="array" ref="I272">_xlfn.IFS(OR(D272="",E272="",F272=""),"",MOD(D272,12)&lt;&gt;0,"",MOD(D272,12)=0,"Year End"&amp;" "&amp;D272/12)</f>
        <v/>
      </c>
      <c r="V272">
        <v>261</v>
      </c>
    </row>
    <row r="273" spans="4:22">
      <c r="D273" s="32">
        <f>IF(V273&lt;=calcs!$F$4,'Loan Calculator'!V273,"")</f>
        <v>262</v>
      </c>
      <c r="E273" s="29" cm="1">
        <f t="array" ref="E273">_xlfn.IFS(F273="","",G272&lt;F272,G272*calcs!$H$3,$D$8&lt;=0,$M$3-F273,$D$8&gt;0,$M$3-F273+$D$8,G272&lt;F272,G273*calcs!$H$3)</f>
        <v>728.10300417438521</v>
      </c>
      <c r="F273" s="29" cm="1">
        <f t="array" ref="F273">_xlfn.IFS(F272="","",G272=0,"",G272&lt;1,"",G272&lt;F272,G272,AND(G272&gt;0,$D$8&gt;0),$D$8+($M$3-(G272*calcs!$H$3)),G272&gt;0,$M$3-(G272*calcs!$H$3))</f>
        <v>935.1532337735714</v>
      </c>
      <c r="G273" s="29" cm="1">
        <f t="array" ref="G273">_xlfn.IFS(F273="","",G272-F273&lt;1,0,ISBLANK(F273)=TRUE,"",G272-F273&gt;1,G272-F273)</f>
        <v>123882.50462469246</v>
      </c>
      <c r="H273" s="33">
        <f t="shared" si="5"/>
        <v>435773.1343423645</v>
      </c>
      <c r="I273" s="2" t="str" cm="1">
        <f t="array" ref="I273">_xlfn.IFS(OR(D273="",E273="",F273=""),"",MOD(D273,12)&lt;&gt;0,"",MOD(D273,12)=0,"Year End"&amp;" "&amp;D273/12)</f>
        <v/>
      </c>
      <c r="V273">
        <v>262</v>
      </c>
    </row>
    <row r="274" spans="4:22">
      <c r="D274" s="30">
        <f>IF(V274&lt;=calcs!$F$4,'Loan Calculator'!V274,"")</f>
        <v>263</v>
      </c>
      <c r="E274" s="27" cm="1">
        <f t="array" ref="E274">_xlfn.IFS(F274="","",G273&lt;F273,G273*calcs!$H$3,$D$8&lt;=0,$M$3-F274,$D$8&gt;0,$M$3-F274+$D$8,G273&lt;F273,G274*calcs!$H$3)</f>
        <v>722.6479436440394</v>
      </c>
      <c r="F274" s="27" cm="1">
        <f t="array" ref="F274">_xlfn.IFS(F273="","",G273=0,"",G273&lt;1,"",G273&lt;F273,G273,AND(G273&gt;0,$D$8&gt;0),$D$8+($M$3-(G273*calcs!$H$3)),G273&gt;0,$M$3-(G273*calcs!$H$3))</f>
        <v>940.60829430391721</v>
      </c>
      <c r="G274" s="27" cm="1">
        <f t="array" ref="G274">_xlfn.IFS(F274="","",G273-F274&lt;1,0,ISBLANK(F274)=TRUE,"",G273-F274&gt;1,G273-F274)</f>
        <v>122941.89633038854</v>
      </c>
      <c r="H274" s="31">
        <f t="shared" si="5"/>
        <v>437436.39058031247</v>
      </c>
      <c r="I274" s="2" t="str" cm="1">
        <f t="array" ref="I274">_xlfn.IFS(OR(D274="",E274="",F274=""),"",MOD(D274,12)&lt;&gt;0,"",MOD(D274,12)=0,"Year End"&amp;" "&amp;D274/12)</f>
        <v/>
      </c>
      <c r="V274">
        <v>263</v>
      </c>
    </row>
    <row r="275" spans="4:22">
      <c r="D275" s="32">
        <f>IF(V275&lt;=calcs!$F$4,'Loan Calculator'!V275,"")</f>
        <v>264</v>
      </c>
      <c r="E275" s="29" cm="1">
        <f t="array" ref="E275">_xlfn.IFS(F275="","",G274&lt;F274,G274*calcs!$H$3,$D$8&lt;=0,$M$3-F275,$D$8&gt;0,$M$3-F275+$D$8,G274&lt;F274,G275*calcs!$H$3)</f>
        <v>717.16106192726647</v>
      </c>
      <c r="F275" s="29" cm="1">
        <f t="array" ref="F275">_xlfn.IFS(F274="","",G274=0,"",G274&lt;1,"",G274&lt;F274,G274,AND(G274&gt;0,$D$8&gt;0),$D$8+($M$3-(G274*calcs!$H$3)),G274&gt;0,$M$3-(G274*calcs!$H$3))</f>
        <v>946.09517602069013</v>
      </c>
      <c r="G275" s="29" cm="1">
        <f t="array" ref="G275">_xlfn.IFS(F275="","",G274-F275&lt;1,0,ISBLANK(F275)=TRUE,"",G274-F275&gt;1,G274-F275)</f>
        <v>121995.80115436784</v>
      </c>
      <c r="H275" s="33">
        <f t="shared" si="5"/>
        <v>439099.64681826043</v>
      </c>
      <c r="I275" s="2" t="str" cm="1">
        <f t="array" ref="I275">_xlfn.IFS(OR(D275="",E275="",F275=""),"",MOD(D275,12)&lt;&gt;0,"",MOD(D275,12)=0,"Year End"&amp;" "&amp;D275/12)</f>
        <v>Year End 22</v>
      </c>
      <c r="V275">
        <v>264</v>
      </c>
    </row>
    <row r="276" spans="4:22">
      <c r="D276" s="30">
        <f>IF(V276&lt;=calcs!$F$4,'Loan Calculator'!V276,"")</f>
        <v>265</v>
      </c>
      <c r="E276" s="27" cm="1">
        <f t="array" ref="E276">_xlfn.IFS(F276="","",G275&lt;F275,G275*calcs!$H$3,$D$8&lt;=0,$M$3-F276,$D$8&gt;0,$M$3-F276+$D$8,G275&lt;F275,G276*calcs!$H$3)</f>
        <v>711.64217340047912</v>
      </c>
      <c r="F276" s="27" cm="1">
        <f t="array" ref="F276">_xlfn.IFS(F275="","",G275=0,"",G275&lt;1,"",G275&lt;F275,G275,AND(G275&gt;0,$D$8&gt;0),$D$8+($M$3-(G275*calcs!$H$3)),G275&gt;0,$M$3-(G275*calcs!$H$3))</f>
        <v>951.61406454747748</v>
      </c>
      <c r="G276" s="27" cm="1">
        <f t="array" ref="G276">_xlfn.IFS(F276="","",G275-F276&lt;1,0,ISBLANK(F276)=TRUE,"",G275-F276&gt;1,G275-F276)</f>
        <v>121044.18708982036</v>
      </c>
      <c r="H276" s="31">
        <f t="shared" si="5"/>
        <v>440762.90305620839</v>
      </c>
      <c r="I276" s="2" t="str" cm="1">
        <f t="array" ref="I276">_xlfn.IFS(OR(D276="",E276="",F276=""),"",MOD(D276,12)&lt;&gt;0,"",MOD(D276,12)=0,"Year End"&amp;" "&amp;D276/12)</f>
        <v/>
      </c>
      <c r="V276">
        <v>265</v>
      </c>
    </row>
    <row r="277" spans="4:22">
      <c r="D277" s="32">
        <f>IF(V277&lt;=calcs!$F$4,'Loan Calculator'!V277,"")</f>
        <v>266</v>
      </c>
      <c r="E277" s="29" cm="1">
        <f t="array" ref="E277">_xlfn.IFS(F277="","",G276&lt;F276,G276*calcs!$H$3,$D$8&lt;=0,$M$3-F277,$D$8&gt;0,$M$3-F277+$D$8,G276&lt;F276,G277*calcs!$H$3)</f>
        <v>706.09109135728545</v>
      </c>
      <c r="F277" s="29" cm="1">
        <f t="array" ref="F277">_xlfn.IFS(F276="","",G276=0,"",G276&lt;1,"",G276&lt;F276,G276,AND(G276&gt;0,$D$8&gt;0),$D$8+($M$3-(G276*calcs!$H$3)),G276&gt;0,$M$3-(G276*calcs!$H$3))</f>
        <v>957.16514659067116</v>
      </c>
      <c r="G277" s="29" cm="1">
        <f t="array" ref="G277">_xlfn.IFS(F277="","",G276-F277&lt;1,0,ISBLANK(F277)=TRUE,"",G276-F277&gt;1,G276-F277)</f>
        <v>120087.02194322969</v>
      </c>
      <c r="H277" s="33">
        <f t="shared" si="5"/>
        <v>442426.15929415636</v>
      </c>
      <c r="I277" s="2" t="str" cm="1">
        <f t="array" ref="I277">_xlfn.IFS(OR(D277="",E277="",F277=""),"",MOD(D277,12)&lt;&gt;0,"",MOD(D277,12)=0,"Year End"&amp;" "&amp;D277/12)</f>
        <v/>
      </c>
      <c r="V277">
        <v>266</v>
      </c>
    </row>
    <row r="278" spans="4:22">
      <c r="D278" s="30">
        <f>IF(V278&lt;=calcs!$F$4,'Loan Calculator'!V278,"")</f>
        <v>267</v>
      </c>
      <c r="E278" s="27" cm="1">
        <f t="array" ref="E278">_xlfn.IFS(F278="","",G277&lt;F277,G277*calcs!$H$3,$D$8&lt;=0,$M$3-F278,$D$8&gt;0,$M$3-F278+$D$8,G277&lt;F277,G278*calcs!$H$3)</f>
        <v>700.50762800217319</v>
      </c>
      <c r="F278" s="27" cm="1">
        <f t="array" ref="F278">_xlfn.IFS(F277="","",G277=0,"",G277&lt;1,"",G277&lt;F277,G277,AND(G277&gt;0,$D$8&gt;0),$D$8+($M$3-(G277*calcs!$H$3)),G277&gt;0,$M$3-(G277*calcs!$H$3))</f>
        <v>962.74860994578341</v>
      </c>
      <c r="G278" s="27" cm="1">
        <f t="array" ref="G278">_xlfn.IFS(F278="","",G277-F278&lt;1,0,ISBLANK(F278)=TRUE,"",G277-F278&gt;1,G277-F278)</f>
        <v>119124.2733332839</v>
      </c>
      <c r="H278" s="31">
        <f t="shared" si="5"/>
        <v>444089.41553210426</v>
      </c>
      <c r="I278" s="2" t="str" cm="1">
        <f t="array" ref="I278">_xlfn.IFS(OR(D278="",E278="",F278=""),"",MOD(D278,12)&lt;&gt;0,"",MOD(D278,12)=0,"Year End"&amp;" "&amp;D278/12)</f>
        <v/>
      </c>
      <c r="V278">
        <v>267</v>
      </c>
    </row>
    <row r="279" spans="4:22">
      <c r="D279" s="32">
        <f>IF(V279&lt;=calcs!$F$4,'Loan Calculator'!V279,"")</f>
        <v>268</v>
      </c>
      <c r="E279" s="29" cm="1">
        <f t="array" ref="E279">_xlfn.IFS(F279="","",G278&lt;F278,G278*calcs!$H$3,$D$8&lt;=0,$M$3-F279,$D$8&gt;0,$M$3-F279+$D$8,G278&lt;F278,G279*calcs!$H$3)</f>
        <v>694.89159444415611</v>
      </c>
      <c r="F279" s="29" cm="1">
        <f t="array" ref="F279">_xlfn.IFS(F278="","",G278=0,"",G278&lt;1,"",G278&lt;F278,G278,AND(G278&gt;0,$D$8&gt;0),$D$8+($M$3-(G278*calcs!$H$3)),G278&gt;0,$M$3-(G278*calcs!$H$3))</f>
        <v>968.36464350380049</v>
      </c>
      <c r="G279" s="29" cm="1">
        <f t="array" ref="G279">_xlfn.IFS(F279="","",G278-F279&lt;1,0,ISBLANK(F279)=TRUE,"",G278-F279&gt;1,G278-F279)</f>
        <v>118155.9086897801</v>
      </c>
      <c r="H279" s="33">
        <f t="shared" si="5"/>
        <v>445752.67177005223</v>
      </c>
      <c r="I279" s="2" t="str" cm="1">
        <f t="array" ref="I279">_xlfn.IFS(OR(D279="",E279="",F279=""),"",MOD(D279,12)&lt;&gt;0,"",MOD(D279,12)=0,"Year End"&amp;" "&amp;D279/12)</f>
        <v/>
      </c>
      <c r="V279">
        <v>268</v>
      </c>
    </row>
    <row r="280" spans="4:22">
      <c r="D280" s="30">
        <f>IF(V280&lt;=calcs!$F$4,'Loan Calculator'!V280,"")</f>
        <v>269</v>
      </c>
      <c r="E280" s="27" cm="1">
        <f t="array" ref="E280">_xlfn.IFS(F280="","",G279&lt;F279,G279*calcs!$H$3,$D$8&lt;=0,$M$3-F280,$D$8&gt;0,$M$3-F280+$D$8,G279&lt;F279,G280*calcs!$H$3)</f>
        <v>689.242800690384</v>
      </c>
      <c r="F280" s="27" cm="1">
        <f t="array" ref="F280">_xlfn.IFS(F279="","",G279=0,"",G279&lt;1,"",G279&lt;F279,G279,AND(G279&gt;0,$D$8&gt;0),$D$8+($M$3-(G279*calcs!$H$3)),G279&gt;0,$M$3-(G279*calcs!$H$3))</f>
        <v>974.0134372575726</v>
      </c>
      <c r="G280" s="27" cm="1">
        <f t="array" ref="G280">_xlfn.IFS(F280="","",G279-F280&lt;1,0,ISBLANK(F280)=TRUE,"",G279-F280&gt;1,G279-F280)</f>
        <v>117181.89525252253</v>
      </c>
      <c r="H280" s="31">
        <f t="shared" si="5"/>
        <v>447415.92800800019</v>
      </c>
      <c r="I280" s="2" t="str" cm="1">
        <f t="array" ref="I280">_xlfn.IFS(OR(D280="",E280="",F280=""),"",MOD(D280,12)&lt;&gt;0,"",MOD(D280,12)=0,"Year End"&amp;" "&amp;D280/12)</f>
        <v/>
      </c>
      <c r="V280">
        <v>269</v>
      </c>
    </row>
    <row r="281" spans="4:22">
      <c r="D281" s="32">
        <f>IF(V281&lt;=calcs!$F$4,'Loan Calculator'!V281,"")</f>
        <v>270</v>
      </c>
      <c r="E281" s="29" cm="1">
        <f t="array" ref="E281">_xlfn.IFS(F281="","",G280&lt;F280,G280*calcs!$H$3,$D$8&lt;=0,$M$3-F281,$D$8&gt;0,$M$3-F281+$D$8,G280&lt;F280,G281*calcs!$H$3)</f>
        <v>683.56105563971482</v>
      </c>
      <c r="F281" s="29" cm="1">
        <f t="array" ref="F281">_xlfn.IFS(F280="","",G280=0,"",G280&lt;1,"",G280&lt;F280,G280,AND(G280&gt;0,$D$8&gt;0),$D$8+($M$3-(G280*calcs!$H$3)),G280&gt;0,$M$3-(G280*calcs!$H$3))</f>
        <v>979.69518230824178</v>
      </c>
      <c r="G281" s="29" cm="1">
        <f t="array" ref="G281">_xlfn.IFS(F281="","",G280-F281&lt;1,0,ISBLANK(F281)=TRUE,"",G280-F281&gt;1,G280-F281)</f>
        <v>116202.20007021428</v>
      </c>
      <c r="H281" s="33">
        <f t="shared" si="5"/>
        <v>449079.18424594816</v>
      </c>
      <c r="I281" s="2" t="str" cm="1">
        <f t="array" ref="I281">_xlfn.IFS(OR(D281="",E281="",F281=""),"",MOD(D281,12)&lt;&gt;0,"",MOD(D281,12)=0,"Year End"&amp;" "&amp;D281/12)</f>
        <v/>
      </c>
      <c r="V281">
        <v>270</v>
      </c>
    </row>
    <row r="282" spans="4:22">
      <c r="D282" s="30">
        <f>IF(V282&lt;=calcs!$F$4,'Loan Calculator'!V282,"")</f>
        <v>271</v>
      </c>
      <c r="E282" s="27" cm="1">
        <f t="array" ref="E282">_xlfn.IFS(F282="","",G281&lt;F281,G281*calcs!$H$3,$D$8&lt;=0,$M$3-F282,$D$8&gt;0,$M$3-F282+$D$8,G281&lt;F281,G282*calcs!$H$3)</f>
        <v>677.84616707625003</v>
      </c>
      <c r="F282" s="27" cm="1">
        <f t="array" ref="F282">_xlfn.IFS(F281="","",G281=0,"",G281&lt;1,"",G281&lt;F281,G281,AND(G281&gt;0,$D$8&gt;0),$D$8+($M$3-(G281*calcs!$H$3)),G281&gt;0,$M$3-(G281*calcs!$H$3))</f>
        <v>985.41007087170658</v>
      </c>
      <c r="G282" s="27" cm="1">
        <f t="array" ref="G282">_xlfn.IFS(F282="","",G281-F282&lt;1,0,ISBLANK(F282)=TRUE,"",G281-F282&gt;1,G281-F282)</f>
        <v>115216.78999934258</v>
      </c>
      <c r="H282" s="31">
        <f t="shared" si="5"/>
        <v>450742.44048389612</v>
      </c>
      <c r="I282" s="2" t="str" cm="1">
        <f t="array" ref="I282">_xlfn.IFS(OR(D282="",E282="",F282=""),"",MOD(D282,12)&lt;&gt;0,"",MOD(D282,12)=0,"Year End"&amp;" "&amp;D282/12)</f>
        <v/>
      </c>
      <c r="V282">
        <v>271</v>
      </c>
    </row>
    <row r="283" spans="4:22">
      <c r="D283" s="32">
        <f>IF(V283&lt;=calcs!$F$4,'Loan Calculator'!V283,"")</f>
        <v>272</v>
      </c>
      <c r="E283" s="29" cm="1">
        <f t="array" ref="E283">_xlfn.IFS(F283="","",G282&lt;F282,G282*calcs!$H$3,$D$8&lt;=0,$M$3-F283,$D$8&gt;0,$M$3-F283+$D$8,G282&lt;F282,G283*calcs!$H$3)</f>
        <v>672.09794166283177</v>
      </c>
      <c r="F283" s="29" cm="1">
        <f t="array" ref="F283">_xlfn.IFS(F282="","",G282=0,"",G282&lt;1,"",G282&lt;F282,G282,AND(G282&gt;0,$D$8&gt;0),$D$8+($M$3-(G282*calcs!$H$3)),G282&gt;0,$M$3-(G282*calcs!$H$3))</f>
        <v>991.15829628512483</v>
      </c>
      <c r="G283" s="29" cm="1">
        <f t="array" ref="G283">_xlfn.IFS(F283="","",G282-F283&lt;1,0,ISBLANK(F283)=TRUE,"",G282-F283&gt;1,G282-F283)</f>
        <v>114225.63170305746</v>
      </c>
      <c r="H283" s="33">
        <f t="shared" si="5"/>
        <v>452405.69672184408</v>
      </c>
      <c r="I283" s="2" t="str" cm="1">
        <f t="array" ref="I283">_xlfn.IFS(OR(D283="",E283="",F283=""),"",MOD(D283,12)&lt;&gt;0,"",MOD(D283,12)=0,"Year End"&amp;" "&amp;D283/12)</f>
        <v/>
      </c>
      <c r="V283">
        <v>272</v>
      </c>
    </row>
    <row r="284" spans="4:22">
      <c r="D284" s="30">
        <f>IF(V284&lt;=calcs!$F$4,'Loan Calculator'!V284,"")</f>
        <v>273</v>
      </c>
      <c r="E284" s="27" cm="1">
        <f t="array" ref="E284">_xlfn.IFS(F284="","",G283&lt;F283,G283*calcs!$H$3,$D$8&lt;=0,$M$3-F284,$D$8&gt;0,$M$3-F284+$D$8,G283&lt;F283,G284*calcs!$H$3)</f>
        <v>666.31618493450185</v>
      </c>
      <c r="F284" s="27" cm="1">
        <f t="array" ref="F284">_xlfn.IFS(F283="","",G283=0,"",G283&lt;1,"",G283&lt;F283,G283,AND(G283&gt;0,$D$8&gt;0),$D$8+($M$3-(G283*calcs!$H$3)),G283&gt;0,$M$3-(G283*calcs!$H$3))</f>
        <v>996.94005301345476</v>
      </c>
      <c r="G284" s="27" cm="1">
        <f t="array" ref="G284">_xlfn.IFS(F284="","",G283-F284&lt;1,0,ISBLANK(F284)=TRUE,"",G283-F284&gt;1,G283-F284)</f>
        <v>113228.691650044</v>
      </c>
      <c r="H284" s="31">
        <f t="shared" si="5"/>
        <v>454068.95295979205</v>
      </c>
      <c r="I284" s="2" t="str" cm="1">
        <f t="array" ref="I284">_xlfn.IFS(OR(D284="",E284="",F284=""),"",MOD(D284,12)&lt;&gt;0,"",MOD(D284,12)=0,"Year End"&amp;" "&amp;D284/12)</f>
        <v/>
      </c>
      <c r="V284">
        <v>273</v>
      </c>
    </row>
    <row r="285" spans="4:22">
      <c r="D285" s="32">
        <f>IF(V285&lt;=calcs!$F$4,'Loan Calculator'!V285,"")</f>
        <v>274</v>
      </c>
      <c r="E285" s="29" cm="1">
        <f t="array" ref="E285">_xlfn.IFS(F285="","",G284&lt;F284,G284*calcs!$H$3,$D$8&lt;=0,$M$3-F285,$D$8&gt;0,$M$3-F285+$D$8,G284&lt;F284,G285*calcs!$H$3)</f>
        <v>660.50070129192341</v>
      </c>
      <c r="F285" s="29" cm="1">
        <f t="array" ref="F285">_xlfn.IFS(F284="","",G284=0,"",G284&lt;1,"",G284&lt;F284,G284,AND(G284&gt;0,$D$8&gt;0),$D$8+($M$3-(G284*calcs!$H$3)),G284&gt;0,$M$3-(G284*calcs!$H$3))</f>
        <v>1002.7555366560332</v>
      </c>
      <c r="G285" s="29" cm="1">
        <f t="array" ref="G285">_xlfn.IFS(F285="","",G284-F285&lt;1,0,ISBLANK(F285)=TRUE,"",G284-F285&gt;1,G284-F285)</f>
        <v>112225.93611338797</v>
      </c>
      <c r="H285" s="33">
        <f t="shared" si="5"/>
        <v>455732.20919774001</v>
      </c>
      <c r="I285" s="2" t="str" cm="1">
        <f t="array" ref="I285">_xlfn.IFS(OR(D285="",E285="",F285=""),"",MOD(D285,12)&lt;&gt;0,"",MOD(D285,12)=0,"Year End"&amp;" "&amp;D285/12)</f>
        <v/>
      </c>
      <c r="V285">
        <v>274</v>
      </c>
    </row>
    <row r="286" spans="4:22">
      <c r="D286" s="30">
        <f>IF(V286&lt;=calcs!$F$4,'Loan Calculator'!V286,"")</f>
        <v>275</v>
      </c>
      <c r="E286" s="27" cm="1">
        <f t="array" ref="E286">_xlfn.IFS(F286="","",G285&lt;F285,G285*calcs!$H$3,$D$8&lt;=0,$M$3-F286,$D$8&gt;0,$M$3-F286+$D$8,G285&lt;F285,G286*calcs!$H$3)</f>
        <v>654.65129399476325</v>
      </c>
      <c r="F286" s="27" cm="1">
        <f t="array" ref="F286">_xlfn.IFS(F285="","",G285=0,"",G285&lt;1,"",G285&lt;F285,G285,AND(G285&gt;0,$D$8&gt;0),$D$8+($M$3-(G285*calcs!$H$3)),G285&gt;0,$M$3-(G285*calcs!$H$3))</f>
        <v>1008.6049439531934</v>
      </c>
      <c r="G286" s="27" cm="1">
        <f t="array" ref="G286">_xlfn.IFS(F286="","",G285-F286&lt;1,0,ISBLANK(F286)=TRUE,"",G285-F286&gt;1,G285-F286)</f>
        <v>111217.33116943478</v>
      </c>
      <c r="H286" s="31">
        <f t="shared" si="5"/>
        <v>457395.46543568798</v>
      </c>
      <c r="I286" s="2" t="str" cm="1">
        <f t="array" ref="I286">_xlfn.IFS(OR(D286="",E286="",F286=""),"",MOD(D286,12)&lt;&gt;0,"",MOD(D286,12)=0,"Year End"&amp;" "&amp;D286/12)</f>
        <v/>
      </c>
      <c r="V286">
        <v>275</v>
      </c>
    </row>
    <row r="287" spans="4:22">
      <c r="D287" s="32">
        <f>IF(V287&lt;=calcs!$F$4,'Loan Calculator'!V287,"")</f>
        <v>276</v>
      </c>
      <c r="E287" s="29" cm="1">
        <f t="array" ref="E287">_xlfn.IFS(F287="","",G286&lt;F286,G286*calcs!$H$3,$D$8&lt;=0,$M$3-F287,$D$8&gt;0,$M$3-F287+$D$8,G286&lt;F286,G287*calcs!$H$3)</f>
        <v>648.76776515503627</v>
      </c>
      <c r="F287" s="29" cm="1">
        <f t="array" ref="F287">_xlfn.IFS(F286="","",G286=0,"",G286&lt;1,"",G286&lt;F286,G286,AND(G286&gt;0,$D$8&gt;0),$D$8+($M$3-(G286*calcs!$H$3)),G286&gt;0,$M$3-(G286*calcs!$H$3))</f>
        <v>1014.4884727929203</v>
      </c>
      <c r="G287" s="29" cm="1">
        <f t="array" ref="G287">_xlfn.IFS(F287="","",G286-F287&lt;1,0,ISBLANK(F287)=TRUE,"",G286-F287&gt;1,G286-F287)</f>
        <v>110202.84269664186</v>
      </c>
      <c r="H287" s="33">
        <f t="shared" si="5"/>
        <v>459058.72167363594</v>
      </c>
      <c r="I287" s="2" t="str" cm="1">
        <f t="array" ref="I287">_xlfn.IFS(OR(D287="",E287="",F287=""),"",MOD(D287,12)&lt;&gt;0,"",MOD(D287,12)=0,"Year End"&amp;" "&amp;D287/12)</f>
        <v>Year End 23</v>
      </c>
      <c r="V287">
        <v>276</v>
      </c>
    </row>
    <row r="288" spans="4:22">
      <c r="D288" s="30">
        <f>IF(V288&lt;=calcs!$F$4,'Loan Calculator'!V288,"")</f>
        <v>277</v>
      </c>
      <c r="E288" s="27" cm="1">
        <f t="array" ref="E288">_xlfn.IFS(F288="","",G287&lt;F287,G287*calcs!$H$3,$D$8&lt;=0,$M$3-F288,$D$8&gt;0,$M$3-F288+$D$8,G287&lt;F287,G288*calcs!$H$3)</f>
        <v>642.84991573041088</v>
      </c>
      <c r="F288" s="27" cm="1">
        <f t="array" ref="F288">_xlfn.IFS(F287="","",G287=0,"",G287&lt;1,"",G287&lt;F287,G287,AND(G287&gt;0,$D$8&gt;0),$D$8+($M$3-(G287*calcs!$H$3)),G287&gt;0,$M$3-(G287*calcs!$H$3))</f>
        <v>1020.4063222175457</v>
      </c>
      <c r="G288" s="27" cm="1">
        <f t="array" ref="G288">_xlfn.IFS(F288="","",G287-F288&lt;1,0,ISBLANK(F288)=TRUE,"",G287-F288&gt;1,G287-F288)</f>
        <v>109182.43637442432</v>
      </c>
      <c r="H288" s="31">
        <f t="shared" si="5"/>
        <v>460721.9779115839</v>
      </c>
      <c r="I288" s="2" t="str" cm="1">
        <f t="array" ref="I288">_xlfn.IFS(OR(D288="",E288="",F288=""),"",MOD(D288,12)&lt;&gt;0,"",MOD(D288,12)=0,"Year End"&amp;" "&amp;D288/12)</f>
        <v/>
      </c>
      <c r="V288">
        <v>277</v>
      </c>
    </row>
    <row r="289" spans="4:22">
      <c r="D289" s="32">
        <f>IF(V289&lt;=calcs!$F$4,'Loan Calculator'!V289,"")</f>
        <v>278</v>
      </c>
      <c r="E289" s="29" cm="1">
        <f t="array" ref="E289">_xlfn.IFS(F289="","",G288&lt;F288,G288*calcs!$H$3,$D$8&lt;=0,$M$3-F289,$D$8&gt;0,$M$3-F289+$D$8,G288&lt;F288,G289*calcs!$H$3)</f>
        <v>636.89754551747524</v>
      </c>
      <c r="F289" s="29" cm="1">
        <f t="array" ref="F289">_xlfn.IFS(F288="","",G288=0,"",G288&lt;1,"",G288&lt;F288,G288,AND(G288&gt;0,$D$8&gt;0),$D$8+($M$3-(G288*calcs!$H$3)),G288&gt;0,$M$3-(G288*calcs!$H$3))</f>
        <v>1026.3586924304814</v>
      </c>
      <c r="G289" s="29" cm="1">
        <f t="array" ref="G289">_xlfn.IFS(F289="","",G288-F289&lt;1,0,ISBLANK(F289)=TRUE,"",G288-F289&gt;1,G288-F289)</f>
        <v>108156.07768199383</v>
      </c>
      <c r="H289" s="33">
        <f t="shared" si="5"/>
        <v>462385.23414953187</v>
      </c>
      <c r="I289" s="2" t="str" cm="1">
        <f t="array" ref="I289">_xlfn.IFS(OR(D289="",E289="",F289=""),"",MOD(D289,12)&lt;&gt;0,"",MOD(D289,12)=0,"Year End"&amp;" "&amp;D289/12)</f>
        <v/>
      </c>
      <c r="V289">
        <v>278</v>
      </c>
    </row>
    <row r="290" spans="4:22">
      <c r="D290" s="30">
        <f>IF(V290&lt;=calcs!$F$4,'Loan Calculator'!V290,"")</f>
        <v>279</v>
      </c>
      <c r="E290" s="27" cm="1">
        <f t="array" ref="E290">_xlfn.IFS(F290="","",G289&lt;F289,G289*calcs!$H$3,$D$8&lt;=0,$M$3-F290,$D$8&gt;0,$M$3-F290+$D$8,G289&lt;F289,G290*calcs!$H$3)</f>
        <v>630.91045314496409</v>
      </c>
      <c r="F290" s="27" cm="1">
        <f t="array" ref="F290">_xlfn.IFS(F289="","",G289=0,"",G289&lt;1,"",G289&lt;F289,G289,AND(G289&gt;0,$D$8&gt;0),$D$8+($M$3-(G289*calcs!$H$3)),G289&gt;0,$M$3-(G289*calcs!$H$3))</f>
        <v>1032.3457848029925</v>
      </c>
      <c r="G290" s="27" cm="1">
        <f t="array" ref="G290">_xlfn.IFS(F290="","",G289-F290&lt;1,0,ISBLANK(F290)=TRUE,"",G289-F290&gt;1,G289-F290)</f>
        <v>107123.73189719084</v>
      </c>
      <c r="H290" s="31">
        <f t="shared" si="5"/>
        <v>464048.49038747983</v>
      </c>
      <c r="I290" s="2" t="str" cm="1">
        <f t="array" ref="I290">_xlfn.IFS(OR(D290="",E290="",F290=""),"",MOD(D290,12)&lt;&gt;0,"",MOD(D290,12)=0,"Year End"&amp;" "&amp;D290/12)</f>
        <v/>
      </c>
      <c r="V290">
        <v>279</v>
      </c>
    </row>
    <row r="291" spans="4:22">
      <c r="D291" s="32">
        <f>IF(V291&lt;=calcs!$F$4,'Loan Calculator'!V291,"")</f>
        <v>280</v>
      </c>
      <c r="E291" s="29" cm="1">
        <f t="array" ref="E291">_xlfn.IFS(F291="","",G290&lt;F290,G290*calcs!$H$3,$D$8&lt;=0,$M$3-F291,$D$8&gt;0,$M$3-F291+$D$8,G290&lt;F290,G291*calcs!$H$3)</f>
        <v>624.8884360669465</v>
      </c>
      <c r="F291" s="29" cm="1">
        <f t="array" ref="F291">_xlfn.IFS(F290="","",G290=0,"",G290&lt;1,"",G290&lt;F290,G290,AND(G290&gt;0,$D$8&gt;0),$D$8+($M$3-(G290*calcs!$H$3)),G290&gt;0,$M$3-(G290*calcs!$H$3))</f>
        <v>1038.3678018810101</v>
      </c>
      <c r="G291" s="29" cm="1">
        <f t="array" ref="G291">_xlfn.IFS(F291="","",G290-F291&lt;1,0,ISBLANK(F291)=TRUE,"",G290-F291&gt;1,G290-F291)</f>
        <v>106085.36409530982</v>
      </c>
      <c r="H291" s="33">
        <f t="shared" si="5"/>
        <v>465711.74662542774</v>
      </c>
      <c r="I291" s="2" t="str" cm="1">
        <f t="array" ref="I291">_xlfn.IFS(OR(D291="",E291="",F291=""),"",MOD(D291,12)&lt;&gt;0,"",MOD(D291,12)=0,"Year End"&amp;" "&amp;D291/12)</f>
        <v/>
      </c>
      <c r="V291">
        <v>280</v>
      </c>
    </row>
    <row r="292" spans="4:22">
      <c r="D292" s="30">
        <f>IF(V292&lt;=calcs!$F$4,'Loan Calculator'!V292,"")</f>
        <v>281</v>
      </c>
      <c r="E292" s="27" cm="1">
        <f t="array" ref="E292">_xlfn.IFS(F292="","",G291&lt;F291,G291*calcs!$H$3,$D$8&lt;=0,$M$3-F292,$D$8&gt;0,$M$3-F292+$D$8,G291&lt;F291,G292*calcs!$H$3)</f>
        <v>618.83129055597396</v>
      </c>
      <c r="F292" s="27" cm="1">
        <f t="array" ref="F292">_xlfn.IFS(F291="","",G291=0,"",G291&lt;1,"",G291&lt;F291,G291,AND(G291&gt;0,$D$8&gt;0),$D$8+($M$3-(G291*calcs!$H$3)),G291&gt;0,$M$3-(G291*calcs!$H$3))</f>
        <v>1044.4249473919826</v>
      </c>
      <c r="G292" s="27" cm="1">
        <f t="array" ref="G292">_xlfn.IFS(F292="","",G291-F292&lt;1,0,ISBLANK(F292)=TRUE,"",G291-F292&gt;1,G291-F292)</f>
        <v>105040.93914791784</v>
      </c>
      <c r="H292" s="31">
        <f t="shared" si="5"/>
        <v>467375.0028633757</v>
      </c>
      <c r="I292" s="2" t="str" cm="1">
        <f t="array" ref="I292">_xlfn.IFS(OR(D292="",E292="",F292=""),"",MOD(D292,12)&lt;&gt;0,"",MOD(D292,12)=0,"Year End"&amp;" "&amp;D292/12)</f>
        <v/>
      </c>
      <c r="V292">
        <v>281</v>
      </c>
    </row>
    <row r="293" spans="4:22">
      <c r="D293" s="32">
        <f>IF(V293&lt;=calcs!$F$4,'Loan Calculator'!V293,"")</f>
        <v>282</v>
      </c>
      <c r="E293" s="29" cm="1">
        <f t="array" ref="E293">_xlfn.IFS(F293="","",G292&lt;F292,G292*calcs!$H$3,$D$8&lt;=0,$M$3-F293,$D$8&gt;0,$M$3-F293+$D$8,G292&lt;F292,G293*calcs!$H$3)</f>
        <v>612.73881169618744</v>
      </c>
      <c r="F293" s="29" cm="1">
        <f t="array" ref="F293">_xlfn.IFS(F292="","",G292=0,"",G292&lt;1,"",G292&lt;F292,G292,AND(G292&gt;0,$D$8&gt;0),$D$8+($M$3-(G292*calcs!$H$3)),G292&gt;0,$M$3-(G292*calcs!$H$3))</f>
        <v>1050.5174262517692</v>
      </c>
      <c r="G293" s="29" cm="1">
        <f t="array" ref="G293">_xlfn.IFS(F293="","",G292-F293&lt;1,0,ISBLANK(F293)=TRUE,"",G292-F293&gt;1,G292-F293)</f>
        <v>103990.42172166608</v>
      </c>
      <c r="H293" s="33">
        <f t="shared" si="5"/>
        <v>469038.25910132367</v>
      </c>
      <c r="I293" s="2" t="str" cm="1">
        <f t="array" ref="I293">_xlfn.IFS(OR(D293="",E293="",F293=""),"",MOD(D293,12)&lt;&gt;0,"",MOD(D293,12)=0,"Year End"&amp;" "&amp;D293/12)</f>
        <v/>
      </c>
      <c r="V293">
        <v>282</v>
      </c>
    </row>
    <row r="294" spans="4:22">
      <c r="D294" s="30">
        <f>IF(V294&lt;=calcs!$F$4,'Loan Calculator'!V294,"")</f>
        <v>283</v>
      </c>
      <c r="E294" s="27" cm="1">
        <f t="array" ref="E294">_xlfn.IFS(F294="","",G293&lt;F293,G293*calcs!$H$3,$D$8&lt;=0,$M$3-F294,$D$8&gt;0,$M$3-F294+$D$8,G293&lt;F293,G294*calcs!$H$3)</f>
        <v>606.61079337638535</v>
      </c>
      <c r="F294" s="27" cm="1">
        <f t="array" ref="F294">_xlfn.IFS(F293="","",G293=0,"",G293&lt;1,"",G293&lt;F293,G293,AND(G293&gt;0,$D$8&gt;0),$D$8+($M$3-(G293*calcs!$H$3)),G293&gt;0,$M$3-(G293*calcs!$H$3))</f>
        <v>1056.6454445715713</v>
      </c>
      <c r="G294" s="27" cm="1">
        <f t="array" ref="G294">_xlfn.IFS(F294="","",G293-F294&lt;1,0,ISBLANK(F294)=TRUE,"",G293-F294&gt;1,G293-F294)</f>
        <v>102933.77627709451</v>
      </c>
      <c r="H294" s="31">
        <f t="shared" si="5"/>
        <v>470701.51533927163</v>
      </c>
      <c r="I294" s="2" t="str" cm="1">
        <f t="array" ref="I294">_xlfn.IFS(OR(D294="",E294="",F294=""),"",MOD(D294,12)&lt;&gt;0,"",MOD(D294,12)=0,"Year End"&amp;" "&amp;D294/12)</f>
        <v/>
      </c>
      <c r="V294">
        <v>283</v>
      </c>
    </row>
    <row r="295" spans="4:22">
      <c r="D295" s="32">
        <f>IF(V295&lt;=calcs!$F$4,'Loan Calculator'!V295,"")</f>
        <v>284</v>
      </c>
      <c r="E295" s="29" cm="1">
        <f t="array" ref="E295">_xlfn.IFS(F295="","",G294&lt;F294,G294*calcs!$H$3,$D$8&lt;=0,$M$3-F295,$D$8&gt;0,$M$3-F295+$D$8,G294&lt;F294,G295*calcs!$H$3)</f>
        <v>600.4470282830514</v>
      </c>
      <c r="F295" s="29" cm="1">
        <f t="array" ref="F295">_xlfn.IFS(F294="","",G294=0,"",G294&lt;1,"",G294&lt;F294,G294,AND(G294&gt;0,$D$8&gt;0),$D$8+($M$3-(G294*calcs!$H$3)),G294&gt;0,$M$3-(G294*calcs!$H$3))</f>
        <v>1062.8092096649052</v>
      </c>
      <c r="G295" s="29" cm="1">
        <f t="array" ref="G295">_xlfn.IFS(F295="","",G294-F295&lt;1,0,ISBLANK(F295)=TRUE,"",G294-F295&gt;1,G294-F295)</f>
        <v>101870.96706742961</v>
      </c>
      <c r="H295" s="33">
        <f t="shared" si="5"/>
        <v>472364.7715772196</v>
      </c>
      <c r="I295" s="2" t="str" cm="1">
        <f t="array" ref="I295">_xlfn.IFS(OR(D295="",E295="",F295=""),"",MOD(D295,12)&lt;&gt;0,"",MOD(D295,12)=0,"Year End"&amp;" "&amp;D295/12)</f>
        <v/>
      </c>
      <c r="V295">
        <v>284</v>
      </c>
    </row>
    <row r="296" spans="4:22">
      <c r="D296" s="30">
        <f>IF(V296&lt;=calcs!$F$4,'Loan Calculator'!V296,"")</f>
        <v>285</v>
      </c>
      <c r="E296" s="27" cm="1">
        <f t="array" ref="E296">_xlfn.IFS(F296="","",G295&lt;F295,G295*calcs!$H$3,$D$8&lt;=0,$M$3-F296,$D$8&gt;0,$M$3-F296+$D$8,G295&lt;F295,G296*calcs!$H$3)</f>
        <v>594.24730789333944</v>
      </c>
      <c r="F296" s="27" cm="1">
        <f t="array" ref="F296">_xlfn.IFS(F295="","",G295=0,"",G295&lt;1,"",G295&lt;F295,G295,AND(G295&gt;0,$D$8&gt;0),$D$8+($M$3-(G295*calcs!$H$3)),G295&gt;0,$M$3-(G295*calcs!$H$3))</f>
        <v>1069.0089300546172</v>
      </c>
      <c r="G296" s="27" cm="1">
        <f t="array" ref="G296">_xlfn.IFS(F296="","",G295-F296&lt;1,0,ISBLANK(F296)=TRUE,"",G295-F296&gt;1,G295-F296)</f>
        <v>100801.95813737498</v>
      </c>
      <c r="H296" s="31">
        <f t="shared" si="5"/>
        <v>474028.02781516756</v>
      </c>
      <c r="I296" s="2" t="str" cm="1">
        <f t="array" ref="I296">_xlfn.IFS(OR(D296="",E296="",F296=""),"",MOD(D296,12)&lt;&gt;0,"",MOD(D296,12)=0,"Year End"&amp;" "&amp;D296/12)</f>
        <v/>
      </c>
      <c r="V296">
        <v>285</v>
      </c>
    </row>
    <row r="297" spans="4:22">
      <c r="D297" s="32">
        <f>IF(V297&lt;=calcs!$F$4,'Loan Calculator'!V297,"")</f>
        <v>286</v>
      </c>
      <c r="E297" s="29" cm="1">
        <f t="array" ref="E297">_xlfn.IFS(F297="","",G296&lt;F296,G296*calcs!$H$3,$D$8&lt;=0,$M$3-F297,$D$8&gt;0,$M$3-F297+$D$8,G296&lt;F296,G297*calcs!$H$3)</f>
        <v>588.01142246802078</v>
      </c>
      <c r="F297" s="29" cm="1">
        <f t="array" ref="F297">_xlfn.IFS(F296="","",G296=0,"",G296&lt;1,"",G296&lt;F296,G296,AND(G296&gt;0,$D$8&gt;0),$D$8+($M$3-(G296*calcs!$H$3)),G296&gt;0,$M$3-(G296*calcs!$H$3))</f>
        <v>1075.2448154799358</v>
      </c>
      <c r="G297" s="29" cm="1">
        <f t="array" ref="G297">_xlfn.IFS(F297="","",G296-F297&lt;1,0,ISBLANK(F297)=TRUE,"",G296-F297&gt;1,G296-F297)</f>
        <v>99726.713321895048</v>
      </c>
      <c r="H297" s="33">
        <f t="shared" si="5"/>
        <v>475691.28405311552</v>
      </c>
      <c r="I297" s="2" t="str" cm="1">
        <f t="array" ref="I297">_xlfn.IFS(OR(D297="",E297="",F297=""),"",MOD(D297,12)&lt;&gt;0,"",MOD(D297,12)=0,"Year End"&amp;" "&amp;D297/12)</f>
        <v/>
      </c>
      <c r="V297">
        <v>286</v>
      </c>
    </row>
    <row r="298" spans="4:22">
      <c r="D298" s="30">
        <f>IF(V298&lt;=calcs!$F$4,'Loan Calculator'!V298,"")</f>
        <v>287</v>
      </c>
      <c r="E298" s="27" cm="1">
        <f t="array" ref="E298">_xlfn.IFS(F298="","",G297&lt;F297,G297*calcs!$H$3,$D$8&lt;=0,$M$3-F298,$D$8&gt;0,$M$3-F298+$D$8,G297&lt;F297,G298*calcs!$H$3)</f>
        <v>581.73916104438786</v>
      </c>
      <c r="F298" s="27" cm="1">
        <f t="array" ref="F298">_xlfn.IFS(F297="","",G297=0,"",G297&lt;1,"",G297&lt;F297,G297,AND(G297&gt;0,$D$8&gt;0),$D$8+($M$3-(G297*calcs!$H$3)),G297&gt;0,$M$3-(G297*calcs!$H$3))</f>
        <v>1081.5170769035687</v>
      </c>
      <c r="G298" s="27" cm="1">
        <f t="array" ref="G298">_xlfn.IFS(F298="","",G297-F298&lt;1,0,ISBLANK(F298)=TRUE,"",G297-F298&gt;1,G297-F298)</f>
        <v>98645.196244991472</v>
      </c>
      <c r="H298" s="31">
        <f t="shared" si="5"/>
        <v>477354.54029106343</v>
      </c>
      <c r="I298" s="2" t="str" cm="1">
        <f t="array" ref="I298">_xlfn.IFS(OR(D298="",E298="",F298=""),"",MOD(D298,12)&lt;&gt;0,"",MOD(D298,12)=0,"Year End"&amp;" "&amp;D298/12)</f>
        <v/>
      </c>
      <c r="V298">
        <v>287</v>
      </c>
    </row>
    <row r="299" spans="4:22">
      <c r="D299" s="32">
        <f>IF(V299&lt;=calcs!$F$4,'Loan Calculator'!V299,"")</f>
        <v>288</v>
      </c>
      <c r="E299" s="29" cm="1">
        <f t="array" ref="E299">_xlfn.IFS(F299="","",G298&lt;F298,G298*calcs!$H$3,$D$8&lt;=0,$M$3-F299,$D$8&gt;0,$M$3-F299+$D$8,G298&lt;F298,G299*calcs!$H$3)</f>
        <v>575.43031142911695</v>
      </c>
      <c r="F299" s="29" cm="1">
        <f t="array" ref="F299">_xlfn.IFS(F298="","",G298=0,"",G298&lt;1,"",G298&lt;F298,G298,AND(G298&gt;0,$D$8&gt;0),$D$8+($M$3-(G298*calcs!$H$3)),G298&gt;0,$M$3-(G298*calcs!$H$3))</f>
        <v>1087.8259265188397</v>
      </c>
      <c r="G299" s="29" cm="1">
        <f t="array" ref="G299">_xlfn.IFS(F299="","",G298-F299&lt;1,0,ISBLANK(F299)=TRUE,"",G298-F299&gt;1,G298-F299)</f>
        <v>97557.370318472633</v>
      </c>
      <c r="H299" s="33">
        <f t="shared" si="5"/>
        <v>479017.79652901139</v>
      </c>
      <c r="I299" s="2" t="str" cm="1">
        <f t="array" ref="I299">_xlfn.IFS(OR(D299="",E299="",F299=""),"",MOD(D299,12)&lt;&gt;0,"",MOD(D299,12)=0,"Year End"&amp;" "&amp;D299/12)</f>
        <v>Year End 24</v>
      </c>
      <c r="V299">
        <v>288</v>
      </c>
    </row>
    <row r="300" spans="4:22">
      <c r="D300" s="30">
        <f>IF(V300&lt;=calcs!$F$4,'Loan Calculator'!V300,"")</f>
        <v>289</v>
      </c>
      <c r="E300" s="27" cm="1">
        <f t="array" ref="E300">_xlfn.IFS(F300="","",G299&lt;F299,G299*calcs!$H$3,$D$8&lt;=0,$M$3-F300,$D$8&gt;0,$M$3-F300+$D$8,G299&lt;F299,G300*calcs!$H$3)</f>
        <v>569.08466019109051</v>
      </c>
      <c r="F300" s="27" cm="1">
        <f t="array" ref="F300">_xlfn.IFS(F299="","",G299=0,"",G299&lt;1,"",G299&lt;F299,G299,AND(G299&gt;0,$D$8&gt;0),$D$8+($M$3-(G299*calcs!$H$3)),G299&gt;0,$M$3-(G299*calcs!$H$3))</f>
        <v>1094.1715777568661</v>
      </c>
      <c r="G300" s="27" cm="1">
        <f t="array" ref="G300">_xlfn.IFS(F300="","",G299-F300&lt;1,0,ISBLANK(F300)=TRUE,"",G299-F300&gt;1,G299-F300)</f>
        <v>96463.198740715772</v>
      </c>
      <c r="H300" s="31">
        <f t="shared" si="5"/>
        <v>480681.05276695936</v>
      </c>
      <c r="I300" s="2" t="str" cm="1">
        <f t="array" ref="I300">_xlfn.IFS(OR(D300="",E300="",F300=""),"",MOD(D300,12)&lt;&gt;0,"",MOD(D300,12)=0,"Year End"&amp;" "&amp;D300/12)</f>
        <v/>
      </c>
      <c r="V300">
        <v>289</v>
      </c>
    </row>
    <row r="301" spans="4:22">
      <c r="D301" s="32">
        <f>IF(V301&lt;=calcs!$F$4,'Loan Calculator'!V301,"")</f>
        <v>290</v>
      </c>
      <c r="E301" s="29" cm="1">
        <f t="array" ref="E301">_xlfn.IFS(F301="","",G300&lt;F300,G300*calcs!$H$3,$D$8&lt;=0,$M$3-F301,$D$8&gt;0,$M$3-F301+$D$8,G300&lt;F300,G301*calcs!$H$3)</f>
        <v>562.70199265417546</v>
      </c>
      <c r="F301" s="29" cm="1">
        <f t="array" ref="F301">_xlfn.IFS(F300="","",G300=0,"",G300&lt;1,"",G300&lt;F300,G300,AND(G300&gt;0,$D$8&gt;0),$D$8+($M$3-(G300*calcs!$H$3)),G300&gt;0,$M$3-(G300*calcs!$H$3))</f>
        <v>1100.5542452937812</v>
      </c>
      <c r="G301" s="29" cm="1">
        <f t="array" ref="G301">_xlfn.IFS(F301="","",G300-F301&lt;1,0,ISBLANK(F301)=TRUE,"",G300-F301&gt;1,G300-F301)</f>
        <v>95362.644495421991</v>
      </c>
      <c r="H301" s="33">
        <f t="shared" si="5"/>
        <v>482344.30900490732</v>
      </c>
      <c r="I301" s="2" t="str" cm="1">
        <f t="array" ref="I301">_xlfn.IFS(OR(D301="",E301="",F301=""),"",MOD(D301,12)&lt;&gt;0,"",MOD(D301,12)=0,"Year End"&amp;" "&amp;D301/12)</f>
        <v/>
      </c>
      <c r="V301">
        <v>290</v>
      </c>
    </row>
    <row r="302" spans="4:22">
      <c r="D302" s="30">
        <f>IF(V302&lt;=calcs!$F$4,'Loan Calculator'!V302,"")</f>
        <v>291</v>
      </c>
      <c r="E302" s="27" cm="1">
        <f t="array" ref="E302">_xlfn.IFS(F302="","",G301&lt;F301,G301*calcs!$H$3,$D$8&lt;=0,$M$3-F302,$D$8&gt;0,$M$3-F302+$D$8,G301&lt;F301,G302*calcs!$H$3)</f>
        <v>556.28209288996163</v>
      </c>
      <c r="F302" s="27" cm="1">
        <f t="array" ref="F302">_xlfn.IFS(F301="","",G301=0,"",G301&lt;1,"",G301&lt;F301,G301,AND(G301&gt;0,$D$8&gt;0),$D$8+($M$3-(G301*calcs!$H$3)),G301&gt;0,$M$3-(G301*calcs!$H$3))</f>
        <v>1106.974145057995</v>
      </c>
      <c r="G302" s="27" cm="1">
        <f t="array" ref="G302">_xlfn.IFS(F302="","",G301-F302&lt;1,0,ISBLANK(F302)=TRUE,"",G301-F302&gt;1,G301-F302)</f>
        <v>94255.670350364002</v>
      </c>
      <c r="H302" s="31">
        <f t="shared" si="5"/>
        <v>484007.56524285529</v>
      </c>
      <c r="I302" s="2" t="str" cm="1">
        <f t="array" ref="I302">_xlfn.IFS(OR(D302="",E302="",F302=""),"",MOD(D302,12)&lt;&gt;0,"",MOD(D302,12)=0,"Year End"&amp;" "&amp;D302/12)</f>
        <v/>
      </c>
      <c r="V302">
        <v>291</v>
      </c>
    </row>
    <row r="303" spans="4:22">
      <c r="D303" s="32">
        <f>IF(V303&lt;=calcs!$F$4,'Loan Calculator'!V303,"")</f>
        <v>292</v>
      </c>
      <c r="E303" s="29" cm="1">
        <f t="array" ref="E303">_xlfn.IFS(F303="","",G302&lt;F302,G302*calcs!$H$3,$D$8&lt;=0,$M$3-F303,$D$8&gt;0,$M$3-F303+$D$8,G302&lt;F302,G303*calcs!$H$3)</f>
        <v>549.82474371045669</v>
      </c>
      <c r="F303" s="29" cm="1">
        <f t="array" ref="F303">_xlfn.IFS(F302="","",G302=0,"",G302&lt;1,"",G302&lt;F302,G302,AND(G302&gt;0,$D$8&gt;0),$D$8+($M$3-(G302*calcs!$H$3)),G302&gt;0,$M$3-(G302*calcs!$H$3))</f>
        <v>1113.4314942374999</v>
      </c>
      <c r="G303" s="29" cm="1">
        <f t="array" ref="G303">_xlfn.IFS(F303="","",G302-F303&lt;1,0,ISBLANK(F303)=TRUE,"",G302-F303&gt;1,G302-F303)</f>
        <v>93142.238856126496</v>
      </c>
      <c r="H303" s="33">
        <f t="shared" si="5"/>
        <v>485670.82148080325</v>
      </c>
      <c r="I303" s="2" t="str" cm="1">
        <f t="array" ref="I303">_xlfn.IFS(OR(D303="",E303="",F303=""),"",MOD(D303,12)&lt;&gt;0,"",MOD(D303,12)=0,"Year End"&amp;" "&amp;D303/12)</f>
        <v/>
      </c>
      <c r="V303">
        <v>292</v>
      </c>
    </row>
    <row r="304" spans="4:22">
      <c r="D304" s="30">
        <f>IF(V304&lt;=calcs!$F$4,'Loan Calculator'!V304,"")</f>
        <v>293</v>
      </c>
      <c r="E304" s="27" cm="1">
        <f t="array" ref="E304">_xlfn.IFS(F304="","",G303&lt;F303,G303*calcs!$H$3,$D$8&lt;=0,$M$3-F304,$D$8&gt;0,$M$3-F304+$D$8,G303&lt;F303,G304*calcs!$H$3)</f>
        <v>543.32972666073806</v>
      </c>
      <c r="F304" s="27" cm="1">
        <f t="array" ref="F304">_xlfn.IFS(F303="","",G303=0,"",G303&lt;1,"",G303&lt;F303,G303,AND(G303&gt;0,$D$8&gt;0),$D$8+($M$3-(G303*calcs!$H$3)),G303&gt;0,$M$3-(G303*calcs!$H$3))</f>
        <v>1119.9265112872185</v>
      </c>
      <c r="G304" s="27" cm="1">
        <f t="array" ref="G304">_xlfn.IFS(F304="","",G303-F304&lt;1,0,ISBLANK(F304)=TRUE,"",G303-F304&gt;1,G303-F304)</f>
        <v>92022.312344839273</v>
      </c>
      <c r="H304" s="31">
        <f t="shared" si="5"/>
        <v>487334.07771875121</v>
      </c>
      <c r="I304" s="2" t="str" cm="1">
        <f t="array" ref="I304">_xlfn.IFS(OR(D304="",E304="",F304=""),"",MOD(D304,12)&lt;&gt;0,"",MOD(D304,12)=0,"Year End"&amp;" "&amp;D304/12)</f>
        <v/>
      </c>
      <c r="V304">
        <v>293</v>
      </c>
    </row>
    <row r="305" spans="4:22">
      <c r="D305" s="32">
        <f>IF(V305&lt;=calcs!$F$4,'Loan Calculator'!V305,"")</f>
        <v>294</v>
      </c>
      <c r="E305" s="29" cm="1">
        <f t="array" ref="E305">_xlfn.IFS(F305="","",G304&lt;F304,G304*calcs!$H$3,$D$8&lt;=0,$M$3-F305,$D$8&gt;0,$M$3-F305+$D$8,G304&lt;F304,G305*calcs!$H$3)</f>
        <v>536.79682201156243</v>
      </c>
      <c r="F305" s="29" cm="1">
        <f t="array" ref="F305">_xlfn.IFS(F304="","",G304=0,"",G304&lt;1,"",G304&lt;F304,G304,AND(G304&gt;0,$D$8&gt;0),$D$8+($M$3-(G304*calcs!$H$3)),G304&gt;0,$M$3-(G304*calcs!$H$3))</f>
        <v>1126.4594159363942</v>
      </c>
      <c r="G305" s="29" cm="1">
        <f t="array" ref="G305">_xlfn.IFS(F305="","",G304-F305&lt;1,0,ISBLANK(F305)=TRUE,"",G304-F305&gt;1,G304-F305)</f>
        <v>90895.852928902881</v>
      </c>
      <c r="H305" s="33">
        <f t="shared" si="5"/>
        <v>488997.33395669918</v>
      </c>
      <c r="I305" s="2" t="str" cm="1">
        <f t="array" ref="I305">_xlfn.IFS(OR(D305="",E305="",F305=""),"",MOD(D305,12)&lt;&gt;0,"",MOD(D305,12)=0,"Year End"&amp;" "&amp;D305/12)</f>
        <v/>
      </c>
      <c r="V305">
        <v>294</v>
      </c>
    </row>
    <row r="306" spans="4:22">
      <c r="D306" s="30">
        <f>IF(V306&lt;=calcs!$F$4,'Loan Calculator'!V306,"")</f>
        <v>295</v>
      </c>
      <c r="E306" s="27" cm="1">
        <f t="array" ref="E306">_xlfn.IFS(F306="","",G305&lt;F305,G305*calcs!$H$3,$D$8&lt;=0,$M$3-F306,$D$8&gt;0,$M$3-F306+$D$8,G305&lt;F305,G306*calcs!$H$3)</f>
        <v>530.22580875193353</v>
      </c>
      <c r="F306" s="27" cm="1">
        <f t="array" ref="F306">_xlfn.IFS(F305="","",G305=0,"",G305&lt;1,"",G305&lt;F305,G305,AND(G305&gt;0,$D$8&gt;0),$D$8+($M$3-(G305*calcs!$H$3)),G305&gt;0,$M$3-(G305*calcs!$H$3))</f>
        <v>1133.0304291960231</v>
      </c>
      <c r="G306" s="27" cm="1">
        <f t="array" ref="G306">_xlfn.IFS(F306="","",G305-F306&lt;1,0,ISBLANK(F306)=TRUE,"",G305-F306&gt;1,G305-F306)</f>
        <v>89762.822499706861</v>
      </c>
      <c r="H306" s="31">
        <f t="shared" si="5"/>
        <v>490660.59019464714</v>
      </c>
      <c r="I306" s="2" t="str" cm="1">
        <f t="array" ref="I306">_xlfn.IFS(OR(D306="",E306="",F306=""),"",MOD(D306,12)&lt;&gt;0,"",MOD(D306,12)=0,"Year End"&amp;" "&amp;D306/12)</f>
        <v/>
      </c>
      <c r="V306">
        <v>295</v>
      </c>
    </row>
    <row r="307" spans="4:22">
      <c r="D307" s="32">
        <f>IF(V307&lt;=calcs!$F$4,'Loan Calculator'!V307,"")</f>
        <v>296</v>
      </c>
      <c r="E307" s="29" cm="1">
        <f t="array" ref="E307">_xlfn.IFS(F307="","",G306&lt;F306,G306*calcs!$H$3,$D$8&lt;=0,$M$3-F307,$D$8&gt;0,$M$3-F307+$D$8,G306&lt;F306,G307*calcs!$H$3)</f>
        <v>523.6164645816234</v>
      </c>
      <c r="F307" s="29" cm="1">
        <f t="array" ref="F307">_xlfn.IFS(F306="","",G306=0,"",G306&lt;1,"",G306&lt;F306,G306,AND(G306&gt;0,$D$8&gt;0),$D$8+($M$3-(G306*calcs!$H$3)),G306&gt;0,$M$3-(G306*calcs!$H$3))</f>
        <v>1139.6397733663332</v>
      </c>
      <c r="G307" s="29" cm="1">
        <f t="array" ref="G307">_xlfn.IFS(F307="","",G306-F307&lt;1,0,ISBLANK(F307)=TRUE,"",G306-F307&gt;1,G306-F307)</f>
        <v>88623.182726340528</v>
      </c>
      <c r="H307" s="33">
        <f t="shared" si="5"/>
        <v>492323.84643259511</v>
      </c>
      <c r="I307" s="2" t="str" cm="1">
        <f t="array" ref="I307">_xlfn.IFS(OR(D307="",E307="",F307=""),"",MOD(D307,12)&lt;&gt;0,"",MOD(D307,12)=0,"Year End"&amp;" "&amp;D307/12)</f>
        <v/>
      </c>
      <c r="V307">
        <v>296</v>
      </c>
    </row>
    <row r="308" spans="4:22">
      <c r="D308" s="30">
        <f>IF(V308&lt;=calcs!$F$4,'Loan Calculator'!V308,"")</f>
        <v>297</v>
      </c>
      <c r="E308" s="27" cm="1">
        <f t="array" ref="E308">_xlfn.IFS(F308="","",G307&lt;F307,G307*calcs!$H$3,$D$8&lt;=0,$M$3-F308,$D$8&gt;0,$M$3-F308+$D$8,G307&lt;F307,G308*calcs!$H$3)</f>
        <v>516.96856590365314</v>
      </c>
      <c r="F308" s="27" cm="1">
        <f t="array" ref="F308">_xlfn.IFS(F307="","",G307=0,"",G307&lt;1,"",G307&lt;F307,G307,AND(G307&gt;0,$D$8&gt;0),$D$8+($M$3-(G307*calcs!$H$3)),G307&gt;0,$M$3-(G307*calcs!$H$3))</f>
        <v>1146.2876720443035</v>
      </c>
      <c r="G308" s="27" cm="1">
        <f t="array" ref="G308">_xlfn.IFS(F308="","",G307-F308&lt;1,0,ISBLANK(F308)=TRUE,"",G307-F308&gt;1,G307-F308)</f>
        <v>87476.895054296227</v>
      </c>
      <c r="H308" s="31">
        <f t="shared" si="5"/>
        <v>493987.10267054307</v>
      </c>
      <c r="I308" s="2" t="str" cm="1">
        <f t="array" ref="I308">_xlfn.IFS(OR(D308="",E308="",F308=""),"",MOD(D308,12)&lt;&gt;0,"",MOD(D308,12)=0,"Year End"&amp;" "&amp;D308/12)</f>
        <v/>
      </c>
      <c r="V308">
        <v>297</v>
      </c>
    </row>
    <row r="309" spans="4:22">
      <c r="D309" s="32">
        <f>IF(V309&lt;=calcs!$F$4,'Loan Calculator'!V309,"")</f>
        <v>298</v>
      </c>
      <c r="E309" s="29" cm="1">
        <f t="array" ref="E309">_xlfn.IFS(F309="","",G308&lt;F308,G308*calcs!$H$3,$D$8&lt;=0,$M$3-F309,$D$8&gt;0,$M$3-F309+$D$8,G308&lt;F308,G309*calcs!$H$3)</f>
        <v>510.28188781672793</v>
      </c>
      <c r="F309" s="29" cm="1">
        <f t="array" ref="F309">_xlfn.IFS(F308="","",G308=0,"",G308&lt;1,"",G308&lt;F308,G308,AND(G308&gt;0,$D$8&gt;0),$D$8+($M$3-(G308*calcs!$H$3)),G308&gt;0,$M$3-(G308*calcs!$H$3))</f>
        <v>1152.9743501312287</v>
      </c>
      <c r="G309" s="29" cm="1">
        <f t="array" ref="G309">_xlfn.IFS(F309="","",G308-F309&lt;1,0,ISBLANK(F309)=TRUE,"",G308-F309&gt;1,G308-F309)</f>
        <v>86323.920704164993</v>
      </c>
      <c r="H309" s="33">
        <f t="shared" si="5"/>
        <v>495650.35890849103</v>
      </c>
      <c r="I309" s="2" t="str" cm="1">
        <f t="array" ref="I309">_xlfn.IFS(OR(D309="",E309="",F309=""),"",MOD(D309,12)&lt;&gt;0,"",MOD(D309,12)=0,"Year End"&amp;" "&amp;D309/12)</f>
        <v/>
      </c>
      <c r="V309">
        <v>298</v>
      </c>
    </row>
    <row r="310" spans="4:22">
      <c r="D310" s="30">
        <f>IF(V310&lt;=calcs!$F$4,'Loan Calculator'!V310,"")</f>
        <v>299</v>
      </c>
      <c r="E310" s="27" cm="1">
        <f t="array" ref="E310">_xlfn.IFS(F310="","",G309&lt;F309,G309*calcs!$H$3,$D$8&lt;=0,$M$3-F310,$D$8&gt;0,$M$3-F310+$D$8,G309&lt;F309,G310*calcs!$H$3)</f>
        <v>503.55620410762913</v>
      </c>
      <c r="F310" s="27" cm="1">
        <f t="array" ref="F310">_xlfn.IFS(F309="","",G309=0,"",G309&lt;1,"",G309&lt;F309,G309,AND(G309&gt;0,$D$8&gt;0),$D$8+($M$3-(G309*calcs!$H$3)),G309&gt;0,$M$3-(G309*calcs!$H$3))</f>
        <v>1159.7000338403275</v>
      </c>
      <c r="G310" s="27" cm="1">
        <f t="array" ref="G310">_xlfn.IFS(F310="","",G309-F310&lt;1,0,ISBLANK(F310)=TRUE,"",G309-F310&gt;1,G309-F310)</f>
        <v>85164.220670324663</v>
      </c>
      <c r="H310" s="31">
        <f t="shared" si="5"/>
        <v>497313.615146439</v>
      </c>
      <c r="I310" s="2" t="str" cm="1">
        <f t="array" ref="I310">_xlfn.IFS(OR(D310="",E310="",F310=""),"",MOD(D310,12)&lt;&gt;0,"",MOD(D310,12)=0,"Year End"&amp;" "&amp;D310/12)</f>
        <v/>
      </c>
      <c r="V310">
        <v>299</v>
      </c>
    </row>
    <row r="311" spans="4:22">
      <c r="D311" s="32">
        <f>IF(V311&lt;=calcs!$F$4,'Loan Calculator'!V311,"")</f>
        <v>300</v>
      </c>
      <c r="E311" s="29" cm="1">
        <f t="array" ref="E311">_xlfn.IFS(F311="","",G310&lt;F310,G310*calcs!$H$3,$D$8&lt;=0,$M$3-F311,$D$8&gt;0,$M$3-F311+$D$8,G310&lt;F310,G311*calcs!$H$3)</f>
        <v>496.79128724356065</v>
      </c>
      <c r="F311" s="29" cm="1">
        <f t="array" ref="F311">_xlfn.IFS(F310="","",G310=0,"",G310&lt;1,"",G310&lt;F310,G310,AND(G310&gt;0,$D$8&gt;0),$D$8+($M$3-(G310*calcs!$H$3)),G310&gt;0,$M$3-(G310*calcs!$H$3))</f>
        <v>1166.464950704396</v>
      </c>
      <c r="G311" s="29" cm="1">
        <f t="array" ref="G311">_xlfn.IFS(F311="","",G310-F311&lt;1,0,ISBLANK(F311)=TRUE,"",G310-F311&gt;1,G310-F311)</f>
        <v>83997.755719620269</v>
      </c>
      <c r="H311" s="33">
        <f t="shared" si="5"/>
        <v>498976.87138438696</v>
      </c>
      <c r="I311" s="2" t="str" cm="1">
        <f t="array" ref="I311">_xlfn.IFS(OR(D311="",E311="",F311=""),"",MOD(D311,12)&lt;&gt;0,"",MOD(D311,12)=0,"Year End"&amp;" "&amp;D311/12)</f>
        <v>Year End 25</v>
      </c>
      <c r="V311">
        <v>300</v>
      </c>
    </row>
    <row r="312" spans="4:22">
      <c r="D312" s="30">
        <f>IF(V312&lt;=calcs!$F$4,'Loan Calculator'!V312,"")</f>
        <v>301</v>
      </c>
      <c r="E312" s="27" cm="1">
        <f t="array" ref="E312">_xlfn.IFS(F312="","",G311&lt;F311,G311*calcs!$H$3,$D$8&lt;=0,$M$3-F312,$D$8&gt;0,$M$3-F312+$D$8,G311&lt;F311,G312*calcs!$H$3)</f>
        <v>489.98690836445166</v>
      </c>
      <c r="F312" s="27" cm="1">
        <f t="array" ref="F312">_xlfn.IFS(F311="","",G311=0,"",G311&lt;1,"",G311&lt;F311,G311,AND(G311&gt;0,$D$8&gt;0),$D$8+($M$3-(G311*calcs!$H$3)),G311&gt;0,$M$3-(G311*calcs!$H$3))</f>
        <v>1173.2693295835049</v>
      </c>
      <c r="G312" s="27" cm="1">
        <f t="array" ref="G312">_xlfn.IFS(F312="","",G311-F312&lt;1,0,ISBLANK(F312)=TRUE,"",G311-F312&gt;1,G311-F312)</f>
        <v>82824.486390036764</v>
      </c>
      <c r="H312" s="31">
        <f t="shared" si="5"/>
        <v>500640.12762233493</v>
      </c>
      <c r="I312" s="2" t="str" cm="1">
        <f t="array" ref="I312">_xlfn.IFS(OR(D312="",E312="",F312=""),"",MOD(D312,12)&lt;&gt;0,"",MOD(D312,12)=0,"Year End"&amp;" "&amp;D312/12)</f>
        <v/>
      </c>
      <c r="V312">
        <v>301</v>
      </c>
    </row>
    <row r="313" spans="4:22">
      <c r="D313" s="32">
        <f>IF(V313&lt;=calcs!$F$4,'Loan Calculator'!V313,"")</f>
        <v>302</v>
      </c>
      <c r="E313" s="29" cm="1">
        <f t="array" ref="E313">_xlfn.IFS(F313="","",G312&lt;F312,G312*calcs!$H$3,$D$8&lt;=0,$M$3-F313,$D$8&gt;0,$M$3-F313+$D$8,G312&lt;F312,G313*calcs!$H$3)</f>
        <v>483.14283727521456</v>
      </c>
      <c r="F313" s="29" cm="1">
        <f t="array" ref="F313">_xlfn.IFS(F312="","",G312=0,"",G312&lt;1,"",G312&lt;F312,G312,AND(G312&gt;0,$D$8&gt;0),$D$8+($M$3-(G312*calcs!$H$3)),G312&gt;0,$M$3-(G312*calcs!$H$3))</f>
        <v>1180.113400672742</v>
      </c>
      <c r="G313" s="29" cm="1">
        <f t="array" ref="G313">_xlfn.IFS(F313="","",G312-F313&lt;1,0,ISBLANK(F313)=TRUE,"",G312-F313&gt;1,G312-F313)</f>
        <v>81644.372989364027</v>
      </c>
      <c r="H313" s="33">
        <f t="shared" si="5"/>
        <v>502303.38386028289</v>
      </c>
      <c r="I313" s="2" t="str" cm="1">
        <f t="array" ref="I313">_xlfn.IFS(OR(D313="",E313="",F313=""),"",MOD(D313,12)&lt;&gt;0,"",MOD(D313,12)=0,"Year End"&amp;" "&amp;D313/12)</f>
        <v/>
      </c>
      <c r="V313">
        <v>302</v>
      </c>
    </row>
    <row r="314" spans="4:22">
      <c r="D314" s="30">
        <f>IF(V314&lt;=calcs!$F$4,'Loan Calculator'!V314,"")</f>
        <v>303</v>
      </c>
      <c r="E314" s="27" cm="1">
        <f t="array" ref="E314">_xlfn.IFS(F314="","",G313&lt;F313,G313*calcs!$H$3,$D$8&lt;=0,$M$3-F314,$D$8&gt;0,$M$3-F314+$D$8,G313&lt;F313,G314*calcs!$H$3)</f>
        <v>476.2588424379569</v>
      </c>
      <c r="F314" s="27" cm="1">
        <f t="array" ref="F314">_xlfn.IFS(F313="","",G313=0,"",G313&lt;1,"",G313&lt;F313,G313,AND(G313&gt;0,$D$8&gt;0),$D$8+($M$3-(G313*calcs!$H$3)),G313&gt;0,$M$3-(G313*calcs!$H$3))</f>
        <v>1186.9973955099997</v>
      </c>
      <c r="G314" s="27" cm="1">
        <f t="array" ref="G314">_xlfn.IFS(F314="","",G313-F314&lt;1,0,ISBLANK(F314)=TRUE,"",G313-F314&gt;1,G313-F314)</f>
        <v>80457.375593854027</v>
      </c>
      <c r="H314" s="31">
        <f t="shared" si="5"/>
        <v>503966.64009823086</v>
      </c>
      <c r="I314" s="2" t="str" cm="1">
        <f t="array" ref="I314">_xlfn.IFS(OR(D314="",E314="",F314=""),"",MOD(D314,12)&lt;&gt;0,"",MOD(D314,12)=0,"Year End"&amp;" "&amp;D314/12)</f>
        <v/>
      </c>
      <c r="V314">
        <v>303</v>
      </c>
    </row>
    <row r="315" spans="4:22">
      <c r="D315" s="32">
        <f>IF(V315&lt;=calcs!$F$4,'Loan Calculator'!V315,"")</f>
        <v>304</v>
      </c>
      <c r="E315" s="29" cm="1">
        <f t="array" ref="E315">_xlfn.IFS(F315="","",G314&lt;F314,G314*calcs!$H$3,$D$8&lt;=0,$M$3-F315,$D$8&gt;0,$M$3-F315+$D$8,G314&lt;F314,G315*calcs!$H$3)</f>
        <v>469.33469096414842</v>
      </c>
      <c r="F315" s="29" cm="1">
        <f t="array" ref="F315">_xlfn.IFS(F314="","",G314=0,"",G314&lt;1,"",G314&lt;F314,G314,AND(G314&gt;0,$D$8&gt;0),$D$8+($M$3-(G314*calcs!$H$3)),G314&gt;0,$M$3-(G314*calcs!$H$3))</f>
        <v>1193.9215469838082</v>
      </c>
      <c r="G315" s="29" cm="1">
        <f t="array" ref="G315">_xlfn.IFS(F315="","",G314-F315&lt;1,0,ISBLANK(F315)=TRUE,"",G314-F315&gt;1,G314-F315)</f>
        <v>79263.454046870218</v>
      </c>
      <c r="H315" s="33">
        <f t="shared" si="5"/>
        <v>505629.89633617882</v>
      </c>
      <c r="I315" s="2" t="str" cm="1">
        <f t="array" ref="I315">_xlfn.IFS(OR(D315="",E315="",F315=""),"",MOD(D315,12)&lt;&gt;0,"",MOD(D315,12)=0,"Year End"&amp;" "&amp;D315/12)</f>
        <v/>
      </c>
      <c r="V315">
        <v>304</v>
      </c>
    </row>
    <row r="316" spans="4:22">
      <c r="D316" s="30">
        <f>IF(V316&lt;=calcs!$F$4,'Loan Calculator'!V316,"")</f>
        <v>305</v>
      </c>
      <c r="E316" s="27" cm="1">
        <f t="array" ref="E316">_xlfn.IFS(F316="","",G315&lt;F315,G315*calcs!$H$3,$D$8&lt;=0,$M$3-F316,$D$8&gt;0,$M$3-F316+$D$8,G315&lt;F315,G316*calcs!$H$3)</f>
        <v>462.37014860674299</v>
      </c>
      <c r="F316" s="27" cm="1">
        <f t="array" ref="F316">_xlfn.IFS(F315="","",G315=0,"",G315&lt;1,"",G315&lt;F315,G315,AND(G315&gt;0,$D$8&gt;0),$D$8+($M$3-(G315*calcs!$H$3)),G315&gt;0,$M$3-(G315*calcs!$H$3))</f>
        <v>1200.8860893412136</v>
      </c>
      <c r="G316" s="27" cm="1">
        <f t="array" ref="G316">_xlfn.IFS(F316="","",G315-F316&lt;1,0,ISBLANK(F316)=TRUE,"",G315-F316&gt;1,G315-F316)</f>
        <v>78062.567957528998</v>
      </c>
      <c r="H316" s="31">
        <f t="shared" si="5"/>
        <v>507293.15257412673</v>
      </c>
      <c r="I316" s="2" t="str" cm="1">
        <f t="array" ref="I316">_xlfn.IFS(OR(D316="",E316="",F316=""),"",MOD(D316,12)&lt;&gt;0,"",MOD(D316,12)=0,"Year End"&amp;" "&amp;D316/12)</f>
        <v/>
      </c>
      <c r="V316">
        <v>305</v>
      </c>
    </row>
    <row r="317" spans="4:22">
      <c r="D317" s="32">
        <f>IF(V317&lt;=calcs!$F$4,'Loan Calculator'!V317,"")</f>
        <v>306</v>
      </c>
      <c r="E317" s="29" cm="1">
        <f t="array" ref="E317">_xlfn.IFS(F317="","",G316&lt;F316,G316*calcs!$H$3,$D$8&lt;=0,$M$3-F317,$D$8&gt;0,$M$3-F317+$D$8,G316&lt;F316,G317*calcs!$H$3)</f>
        <v>455.36497975225257</v>
      </c>
      <c r="F317" s="29" cm="1">
        <f t="array" ref="F317">_xlfn.IFS(F316="","",G316=0,"",G316&lt;1,"",G316&lt;F316,G316,AND(G316&gt;0,$D$8&gt;0),$D$8+($M$3-(G316*calcs!$H$3)),G316&gt;0,$M$3-(G316*calcs!$H$3))</f>
        <v>1207.891258195704</v>
      </c>
      <c r="G317" s="29" cm="1">
        <f t="array" ref="G317">_xlfn.IFS(F317="","",G316-F317&lt;1,0,ISBLANK(F317)=TRUE,"",G316-F317&gt;1,G316-F317)</f>
        <v>76854.6766993333</v>
      </c>
      <c r="H317" s="33">
        <f t="shared" si="5"/>
        <v>508956.40881207469</v>
      </c>
      <c r="I317" s="2" t="str" cm="1">
        <f t="array" ref="I317">_xlfn.IFS(OR(D317="",E317="",F317=""),"",MOD(D317,12)&lt;&gt;0,"",MOD(D317,12)=0,"Year End"&amp;" "&amp;D317/12)</f>
        <v/>
      </c>
      <c r="V317">
        <v>306</v>
      </c>
    </row>
    <row r="318" spans="4:22">
      <c r="D318" s="30">
        <f>IF(V318&lt;=calcs!$F$4,'Loan Calculator'!V318,"")</f>
        <v>307</v>
      </c>
      <c r="E318" s="27" cm="1">
        <f t="array" ref="E318">_xlfn.IFS(F318="","",G317&lt;F317,G317*calcs!$H$3,$D$8&lt;=0,$M$3-F318,$D$8&gt;0,$M$3-F318+$D$8,G317&lt;F317,G318*calcs!$H$3)</f>
        <v>448.31894741277756</v>
      </c>
      <c r="F318" s="27" cm="1">
        <f t="array" ref="F318">_xlfn.IFS(F317="","",G317=0,"",G317&lt;1,"",G317&lt;F317,G317,AND(G317&gt;0,$D$8&gt;0),$D$8+($M$3-(G317*calcs!$H$3)),G317&gt;0,$M$3-(G317*calcs!$H$3))</f>
        <v>1214.937290535179</v>
      </c>
      <c r="G318" s="27" cm="1">
        <f t="array" ref="G318">_xlfn.IFS(F318="","",G317-F318&lt;1,0,ISBLANK(F318)=TRUE,"",G317-F318&gt;1,G317-F318)</f>
        <v>75639.739408798123</v>
      </c>
      <c r="H318" s="31">
        <f t="shared" si="5"/>
        <v>510619.66505002265</v>
      </c>
      <c r="I318" s="2" t="str" cm="1">
        <f t="array" ref="I318">_xlfn.IFS(OR(D318="",E318="",F318=""),"",MOD(D318,12)&lt;&gt;0,"",MOD(D318,12)=0,"Year End"&amp;" "&amp;D318/12)</f>
        <v/>
      </c>
      <c r="V318">
        <v>307</v>
      </c>
    </row>
    <row r="319" spans="4:22">
      <c r="D319" s="32">
        <f>IF(V319&lt;=calcs!$F$4,'Loan Calculator'!V319,"")</f>
        <v>308</v>
      </c>
      <c r="E319" s="29" cm="1">
        <f t="array" ref="E319">_xlfn.IFS(F319="","",G318&lt;F318,G318*calcs!$H$3,$D$8&lt;=0,$M$3-F319,$D$8&gt;0,$M$3-F319+$D$8,G318&lt;F318,G319*calcs!$H$3)</f>
        <v>441.23181321798916</v>
      </c>
      <c r="F319" s="29" cm="1">
        <f t="array" ref="F319">_xlfn.IFS(F318="","",G318=0,"",G318&lt;1,"",G318&lt;F318,G318,AND(G318&gt;0,$D$8&gt;0),$D$8+($M$3-(G318*calcs!$H$3)),G318&gt;0,$M$3-(G318*calcs!$H$3))</f>
        <v>1222.0244247299674</v>
      </c>
      <c r="G319" s="29" cm="1">
        <f t="array" ref="G319">_xlfn.IFS(F319="","",G318-F319&lt;1,0,ISBLANK(F319)=TRUE,"",G318-F319&gt;1,G318-F319)</f>
        <v>74417.714984068152</v>
      </c>
      <c r="H319" s="33">
        <f t="shared" si="5"/>
        <v>512282.92128797062</v>
      </c>
      <c r="I319" s="2" t="str" cm="1">
        <f t="array" ref="I319">_xlfn.IFS(OR(D319="",E319="",F319=""),"",MOD(D319,12)&lt;&gt;0,"",MOD(D319,12)=0,"Year End"&amp;" "&amp;D319/12)</f>
        <v/>
      </c>
      <c r="V319">
        <v>308</v>
      </c>
    </row>
    <row r="320" spans="4:22">
      <c r="D320" s="30">
        <f>IF(V320&lt;=calcs!$F$4,'Loan Calculator'!V320,"")</f>
        <v>309</v>
      </c>
      <c r="E320" s="27" cm="1">
        <f t="array" ref="E320">_xlfn.IFS(F320="","",G319&lt;F319,G319*calcs!$H$3,$D$8&lt;=0,$M$3-F320,$D$8&gt;0,$M$3-F320+$D$8,G319&lt;F319,G320*calcs!$H$3)</f>
        <v>434.10333740706415</v>
      </c>
      <c r="F320" s="27" cm="1">
        <f t="array" ref="F320">_xlfn.IFS(F319="","",G319=0,"",G319&lt;1,"",G319&lt;F319,G319,AND(G319&gt;0,$D$8&gt;0),$D$8+($M$3-(G319*calcs!$H$3)),G319&gt;0,$M$3-(G319*calcs!$H$3))</f>
        <v>1229.1529005408925</v>
      </c>
      <c r="G320" s="27" cm="1">
        <f t="array" ref="G320">_xlfn.IFS(F320="","",G319-F320&lt;1,0,ISBLANK(F320)=TRUE,"",G319-F320&gt;1,G319-F320)</f>
        <v>73188.562083527257</v>
      </c>
      <c r="H320" s="31">
        <f t="shared" si="5"/>
        <v>513946.17752591858</v>
      </c>
      <c r="I320" s="2" t="str" cm="1">
        <f t="array" ref="I320">_xlfn.IFS(OR(D320="",E320="",F320=""),"",MOD(D320,12)&lt;&gt;0,"",MOD(D320,12)=0,"Year End"&amp;" "&amp;D320/12)</f>
        <v/>
      </c>
      <c r="V320">
        <v>309</v>
      </c>
    </row>
    <row r="321" spans="4:22">
      <c r="D321" s="32">
        <f>IF(V321&lt;=calcs!$F$4,'Loan Calculator'!V321,"")</f>
        <v>310</v>
      </c>
      <c r="E321" s="29" cm="1">
        <f t="array" ref="E321">_xlfn.IFS(F321="","",G320&lt;F320,G320*calcs!$H$3,$D$8&lt;=0,$M$3-F321,$D$8&gt;0,$M$3-F321+$D$8,G320&lt;F320,G321*calcs!$H$3)</f>
        <v>426.93327882057565</v>
      </c>
      <c r="F321" s="29" cm="1">
        <f t="array" ref="F321">_xlfn.IFS(F320="","",G320=0,"",G320&lt;1,"",G320&lt;F320,G320,AND(G320&gt;0,$D$8&gt;0),$D$8+($M$3-(G320*calcs!$H$3)),G320&gt;0,$M$3-(G320*calcs!$H$3))</f>
        <v>1236.322959127381</v>
      </c>
      <c r="G321" s="29" cm="1">
        <f t="array" ref="G321">_xlfn.IFS(F321="","",G320-F321&lt;1,0,ISBLANK(F321)=TRUE,"",G320-F321&gt;1,G320-F321)</f>
        <v>71952.239124399872</v>
      </c>
      <c r="H321" s="33">
        <f t="shared" si="5"/>
        <v>515609.43376386655</v>
      </c>
      <c r="I321" s="2" t="str" cm="1">
        <f t="array" ref="I321">_xlfn.IFS(OR(D321="",E321="",F321=""),"",MOD(D321,12)&lt;&gt;0,"",MOD(D321,12)=0,"Year End"&amp;" "&amp;D321/12)</f>
        <v/>
      </c>
      <c r="V321">
        <v>310</v>
      </c>
    </row>
    <row r="322" spans="4:22">
      <c r="D322" s="30">
        <f>IF(V322&lt;=calcs!$F$4,'Loan Calculator'!V322,"")</f>
        <v>311</v>
      </c>
      <c r="E322" s="27" cm="1">
        <f t="array" ref="E322">_xlfn.IFS(F322="","",G321&lt;F321,G321*calcs!$H$3,$D$8&lt;=0,$M$3-F322,$D$8&gt;0,$M$3-F322+$D$8,G321&lt;F321,G322*calcs!$H$3)</f>
        <v>419.72139489233268</v>
      </c>
      <c r="F322" s="27" cm="1">
        <f t="array" ref="F322">_xlfn.IFS(F321="","",G321=0,"",G321&lt;1,"",G321&lt;F321,G321,AND(G321&gt;0,$D$8&gt;0),$D$8+($M$3-(G321*calcs!$H$3)),G321&gt;0,$M$3-(G321*calcs!$H$3))</f>
        <v>1243.5348430556239</v>
      </c>
      <c r="G322" s="27" cm="1">
        <f t="array" ref="G322">_xlfn.IFS(F322="","",G321-F322&lt;1,0,ISBLANK(F322)=TRUE,"",G321-F322&gt;1,G321-F322)</f>
        <v>70708.704281344253</v>
      </c>
      <c r="H322" s="31">
        <f t="shared" si="5"/>
        <v>517272.69000181451</v>
      </c>
      <c r="I322" s="2" t="str" cm="1">
        <f t="array" ref="I322">_xlfn.IFS(OR(D322="",E322="",F322=""),"",MOD(D322,12)&lt;&gt;0,"",MOD(D322,12)=0,"Year End"&amp;" "&amp;D322/12)</f>
        <v/>
      </c>
      <c r="V322">
        <v>311</v>
      </c>
    </row>
    <row r="323" spans="4:22">
      <c r="D323" s="32">
        <f>IF(V323&lt;=calcs!$F$4,'Loan Calculator'!V323,"")</f>
        <v>312</v>
      </c>
      <c r="E323" s="29" cm="1">
        <f t="array" ref="E323">_xlfn.IFS(F323="","",G322&lt;F322,G322*calcs!$H$3,$D$8&lt;=0,$M$3-F323,$D$8&gt;0,$M$3-F323+$D$8,G322&lt;F322,G323*calcs!$H$3)</f>
        <v>412.4674416411749</v>
      </c>
      <c r="F323" s="29" cm="1">
        <f t="array" ref="F323">_xlfn.IFS(F322="","",G322=0,"",G322&lt;1,"",G322&lt;F322,G322,AND(G322&gt;0,$D$8&gt;0),$D$8+($M$3-(G322*calcs!$H$3)),G322&gt;0,$M$3-(G322*calcs!$H$3))</f>
        <v>1250.7887963067817</v>
      </c>
      <c r="G323" s="29" cm="1">
        <f t="array" ref="G323">_xlfn.IFS(F323="","",G322-F323&lt;1,0,ISBLANK(F323)=TRUE,"",G322-F323&gt;1,G322-F323)</f>
        <v>69457.915485037476</v>
      </c>
      <c r="H323" s="33">
        <f t="shared" si="5"/>
        <v>518935.94623976247</v>
      </c>
      <c r="I323" s="2" t="str" cm="1">
        <f t="array" ref="I323">_xlfn.IFS(OR(D323="",E323="",F323=""),"",MOD(D323,12)&lt;&gt;0,"",MOD(D323,12)=0,"Year End"&amp;" "&amp;D323/12)</f>
        <v>Year End 26</v>
      </c>
      <c r="V323">
        <v>312</v>
      </c>
    </row>
    <row r="324" spans="4:22">
      <c r="D324" s="30">
        <f>IF(V324&lt;=calcs!$F$4,'Loan Calculator'!V324,"")</f>
        <v>313</v>
      </c>
      <c r="E324" s="27" cm="1">
        <f t="array" ref="E324">_xlfn.IFS(F324="","",G323&lt;F323,G323*calcs!$H$3,$D$8&lt;=0,$M$3-F324,$D$8&gt;0,$M$3-F324+$D$8,G323&lt;F323,G324*calcs!$H$3)</f>
        <v>405.17117366271873</v>
      </c>
      <c r="F324" s="27" cm="1">
        <f t="array" ref="F324">_xlfn.IFS(F323="","",G323=0,"",G323&lt;1,"",G323&lt;F323,G323,AND(G323&gt;0,$D$8&gt;0),$D$8+($M$3-(G323*calcs!$H$3)),G323&gt;0,$M$3-(G323*calcs!$H$3))</f>
        <v>1258.0850642852379</v>
      </c>
      <c r="G324" s="27" cm="1">
        <f t="array" ref="G324">_xlfn.IFS(F324="","",G323-F324&lt;1,0,ISBLANK(F324)=TRUE,"",G323-F324&gt;1,G323-F324)</f>
        <v>68199.830420752245</v>
      </c>
      <c r="H324" s="31">
        <f t="shared" si="5"/>
        <v>520599.20247771044</v>
      </c>
      <c r="I324" s="2" t="str" cm="1">
        <f t="array" ref="I324">_xlfn.IFS(OR(D324="",E324="",F324=""),"",MOD(D324,12)&lt;&gt;0,"",MOD(D324,12)=0,"Year End"&amp;" "&amp;D324/12)</f>
        <v/>
      </c>
      <c r="V324">
        <v>313</v>
      </c>
    </row>
    <row r="325" spans="4:22">
      <c r="D325" s="32">
        <f>IF(V325&lt;=calcs!$F$4,'Loan Calculator'!V325,"")</f>
        <v>314</v>
      </c>
      <c r="E325" s="29" cm="1">
        <f t="array" ref="E325">_xlfn.IFS(F325="","",G324&lt;F324,G324*calcs!$H$3,$D$8&lt;=0,$M$3-F325,$D$8&gt;0,$M$3-F325+$D$8,G324&lt;F324,G325*calcs!$H$3)</f>
        <v>397.8323441210548</v>
      </c>
      <c r="F325" s="29" cm="1">
        <f t="array" ref="F325">_xlfn.IFS(F324="","",G324=0,"",G324&lt;1,"",G324&lt;F324,G324,AND(G324&gt;0,$D$8&gt;0),$D$8+($M$3-(G324*calcs!$H$3)),G324&gt;0,$M$3-(G324*calcs!$H$3))</f>
        <v>1265.4238938269018</v>
      </c>
      <c r="G325" s="29" cm="1">
        <f t="array" ref="G325">_xlfn.IFS(F325="","",G324-F325&lt;1,0,ISBLANK(F325)=TRUE,"",G324-F325&gt;1,G324-F325)</f>
        <v>66934.406526925348</v>
      </c>
      <c r="H325" s="33">
        <f t="shared" si="5"/>
        <v>522262.4587156584</v>
      </c>
      <c r="I325" s="2" t="str" cm="1">
        <f t="array" ref="I325">_xlfn.IFS(OR(D325="",E325="",F325=""),"",MOD(D325,12)&lt;&gt;0,"",MOD(D325,12)=0,"Year End"&amp;" "&amp;D325/12)</f>
        <v/>
      </c>
      <c r="V325">
        <v>314</v>
      </c>
    </row>
    <row r="326" spans="4:22">
      <c r="D326" s="30">
        <f>IF(V326&lt;=calcs!$F$4,'Loan Calculator'!V326,"")</f>
        <v>315</v>
      </c>
      <c r="E326" s="27" cm="1">
        <f t="array" ref="E326">_xlfn.IFS(F326="","",G325&lt;F325,G325*calcs!$H$3,$D$8&lt;=0,$M$3-F326,$D$8&gt;0,$M$3-F326+$D$8,G325&lt;F325,G326*calcs!$H$3)</f>
        <v>390.4507047403979</v>
      </c>
      <c r="F326" s="27" cm="1">
        <f t="array" ref="F326">_xlfn.IFS(F325="","",G325=0,"",G325&lt;1,"",G325&lt;F325,G325,AND(G325&gt;0,$D$8&gt;0),$D$8+($M$3-(G325*calcs!$H$3)),G325&gt;0,$M$3-(G325*calcs!$H$3))</f>
        <v>1272.8055332075587</v>
      </c>
      <c r="G326" s="27" cm="1">
        <f t="array" ref="G326">_xlfn.IFS(F326="","",G325-F326&lt;1,0,ISBLANK(F326)=TRUE,"",G325-F326&gt;1,G325-F326)</f>
        <v>65661.600993717788</v>
      </c>
      <c r="H326" s="31">
        <f t="shared" si="5"/>
        <v>523925.71495360637</v>
      </c>
      <c r="I326" s="2" t="str" cm="1">
        <f t="array" ref="I326">_xlfn.IFS(OR(D326="",E326="",F326=""),"",MOD(D326,12)&lt;&gt;0,"",MOD(D326,12)=0,"Year End"&amp;" "&amp;D326/12)</f>
        <v/>
      </c>
      <c r="V326">
        <v>315</v>
      </c>
    </row>
    <row r="327" spans="4:22">
      <c r="D327" s="32">
        <f>IF(V327&lt;=calcs!$F$4,'Loan Calculator'!V327,"")</f>
        <v>316</v>
      </c>
      <c r="E327" s="29" cm="1">
        <f t="array" ref="E327">_xlfn.IFS(F327="","",G326&lt;F326,G326*calcs!$H$3,$D$8&lt;=0,$M$3-F327,$D$8&gt;0,$M$3-F327+$D$8,G326&lt;F326,G327*calcs!$H$3)</f>
        <v>383.02600579668706</v>
      </c>
      <c r="F327" s="29" cm="1">
        <f t="array" ref="F327">_xlfn.IFS(F326="","",G326=0,"",G326&lt;1,"",G326&lt;F326,G326,AND(G326&gt;0,$D$8&gt;0),$D$8+($M$3-(G326*calcs!$H$3)),G326&gt;0,$M$3-(G326*calcs!$H$3))</f>
        <v>1280.2302321512695</v>
      </c>
      <c r="G327" s="29" cm="1">
        <f t="array" ref="G327">_xlfn.IFS(F327="","",G326-F327&lt;1,0,ISBLANK(F327)=TRUE,"",G326-F327&gt;1,G326-F327)</f>
        <v>64381.370761566519</v>
      </c>
      <c r="H327" s="33">
        <f t="shared" si="5"/>
        <v>525588.97119155433</v>
      </c>
      <c r="I327" s="2" t="str" cm="1">
        <f t="array" ref="I327">_xlfn.IFS(OR(D327="",E327="",F327=""),"",MOD(D327,12)&lt;&gt;0,"",MOD(D327,12)=0,"Year End"&amp;" "&amp;D327/12)</f>
        <v/>
      </c>
      <c r="V327">
        <v>316</v>
      </c>
    </row>
    <row r="328" spans="4:22">
      <c r="D328" s="30">
        <f>IF(V328&lt;=calcs!$F$4,'Loan Calculator'!V328,"")</f>
        <v>317</v>
      </c>
      <c r="E328" s="27" cm="1">
        <f t="array" ref="E328">_xlfn.IFS(F328="","",G327&lt;F327,G327*calcs!$H$3,$D$8&lt;=0,$M$3-F328,$D$8&gt;0,$M$3-F328+$D$8,G327&lt;F327,G328*calcs!$H$3)</f>
        <v>375.557996109138</v>
      </c>
      <c r="F328" s="27" cm="1">
        <f t="array" ref="F328">_xlfn.IFS(F327="","",G327=0,"",G327&lt;1,"",G327&lt;F327,G327,AND(G327&gt;0,$D$8&gt;0),$D$8+($M$3-(G327*calcs!$H$3)),G327&gt;0,$M$3-(G327*calcs!$H$3))</f>
        <v>1287.6982418388186</v>
      </c>
      <c r="G328" s="27" cm="1">
        <f t="array" ref="G328">_xlfn.IFS(F328="","",G327-F328&lt;1,0,ISBLANK(F328)=TRUE,"",G327-F328&gt;1,G327-F328)</f>
        <v>63093.672519727697</v>
      </c>
      <c r="H328" s="31">
        <f t="shared" si="5"/>
        <v>527252.22742950229</v>
      </c>
      <c r="I328" s="2" t="str" cm="1">
        <f t="array" ref="I328">_xlfn.IFS(OR(D328="",E328="",F328=""),"",MOD(D328,12)&lt;&gt;0,"",MOD(D328,12)=0,"Year End"&amp;" "&amp;D328/12)</f>
        <v/>
      </c>
      <c r="V328">
        <v>317</v>
      </c>
    </row>
    <row r="329" spans="4:22">
      <c r="D329" s="32">
        <f>IF(V329&lt;=calcs!$F$4,'Loan Calculator'!V329,"")</f>
        <v>318</v>
      </c>
      <c r="E329" s="29" cm="1">
        <f t="array" ref="E329">_xlfn.IFS(F329="","",G328&lt;F328,G328*calcs!$H$3,$D$8&lt;=0,$M$3-F329,$D$8&gt;0,$M$3-F329+$D$8,G328&lt;F328,G329*calcs!$H$3)</f>
        <v>368.04642303174501</v>
      </c>
      <c r="F329" s="29" cm="1">
        <f t="array" ref="F329">_xlfn.IFS(F328="","",G328=0,"",G328&lt;1,"",G328&lt;F328,G328,AND(G328&gt;0,$D$8&gt;0),$D$8+($M$3-(G328*calcs!$H$3)),G328&gt;0,$M$3-(G328*calcs!$H$3))</f>
        <v>1295.2098149162116</v>
      </c>
      <c r="G329" s="29" cm="1">
        <f t="array" ref="G329">_xlfn.IFS(F329="","",G328-F329&lt;1,0,ISBLANK(F329)=TRUE,"",G328-F329&gt;1,G328-F329)</f>
        <v>61798.462704811485</v>
      </c>
      <c r="H329" s="33">
        <f t="shared" si="5"/>
        <v>528915.48366745026</v>
      </c>
      <c r="I329" s="2" t="str" cm="1">
        <f t="array" ref="I329">_xlfn.IFS(OR(D329="",E329="",F329=""),"",MOD(D329,12)&lt;&gt;0,"",MOD(D329,12)=0,"Year End"&amp;" "&amp;D329/12)</f>
        <v/>
      </c>
      <c r="V329">
        <v>318</v>
      </c>
    </row>
    <row r="330" spans="4:22">
      <c r="D330" s="30">
        <f>IF(V330&lt;=calcs!$F$4,'Loan Calculator'!V330,"")</f>
        <v>319</v>
      </c>
      <c r="E330" s="27" cm="1">
        <f t="array" ref="E330">_xlfn.IFS(F330="","",G329&lt;F329,G329*calcs!$H$3,$D$8&lt;=0,$M$3-F330,$D$8&gt;0,$M$3-F330+$D$8,G329&lt;F329,G330*calcs!$H$3)</f>
        <v>360.49103244473372</v>
      </c>
      <c r="F330" s="27" cm="1">
        <f t="array" ref="F330">_xlfn.IFS(F329="","",G329=0,"",G329&lt;1,"",G329&lt;F329,G329,AND(G329&gt;0,$D$8&gt;0),$D$8+($M$3-(G329*calcs!$H$3)),G329&gt;0,$M$3-(G329*calcs!$H$3))</f>
        <v>1302.7652055032229</v>
      </c>
      <c r="G330" s="27" cm="1">
        <f t="array" ref="G330">_xlfn.IFS(F330="","",G329-F330&lt;1,0,ISBLANK(F330)=TRUE,"",G329-F330&gt;1,G329-F330)</f>
        <v>60495.697499308262</v>
      </c>
      <c r="H330" s="31">
        <f t="shared" si="5"/>
        <v>530578.73990539822</v>
      </c>
      <c r="I330" s="2" t="str" cm="1">
        <f t="array" ref="I330">_xlfn.IFS(OR(D330="",E330="",F330=""),"",MOD(D330,12)&lt;&gt;0,"",MOD(D330,12)=0,"Year End"&amp;" "&amp;D330/12)</f>
        <v/>
      </c>
      <c r="V330">
        <v>319</v>
      </c>
    </row>
    <row r="331" spans="4:22">
      <c r="D331" s="32">
        <f>IF(V331&lt;=calcs!$F$4,'Loan Calculator'!V331,"")</f>
        <v>320</v>
      </c>
      <c r="E331" s="29" cm="1">
        <f t="array" ref="E331">_xlfn.IFS(F331="","",G330&lt;F330,G330*calcs!$H$3,$D$8&lt;=0,$M$3-F331,$D$8&gt;0,$M$3-F331+$D$8,G330&lt;F330,G331*calcs!$H$3)</f>
        <v>352.89156874596483</v>
      </c>
      <c r="F331" s="29" cm="1">
        <f t="array" ref="F331">_xlfn.IFS(F330="","",G330=0,"",G330&lt;1,"",G330&lt;F330,G330,AND(G330&gt;0,$D$8&gt;0),$D$8+($M$3-(G330*calcs!$H$3)),G330&gt;0,$M$3-(G330*calcs!$H$3))</f>
        <v>1310.3646692019918</v>
      </c>
      <c r="G331" s="29" cm="1">
        <f t="array" ref="G331">_xlfn.IFS(F331="","",G330-F331&lt;1,0,ISBLANK(F331)=TRUE,"",G330-F331&gt;1,G330-F331)</f>
        <v>59185.332830106272</v>
      </c>
      <c r="H331" s="33">
        <f t="shared" si="5"/>
        <v>532241.99614334619</v>
      </c>
      <c r="I331" s="2" t="str" cm="1">
        <f t="array" ref="I331">_xlfn.IFS(OR(D331="",E331="",F331=""),"",MOD(D331,12)&lt;&gt;0,"",MOD(D331,12)=0,"Year End"&amp;" "&amp;D331/12)</f>
        <v/>
      </c>
      <c r="V331">
        <v>320</v>
      </c>
    </row>
    <row r="332" spans="4:22">
      <c r="D332" s="30">
        <f>IF(V332&lt;=calcs!$F$4,'Loan Calculator'!V332,"")</f>
        <v>321</v>
      </c>
      <c r="E332" s="27" cm="1">
        <f t="array" ref="E332">_xlfn.IFS(F332="","",G331&lt;F331,G331*calcs!$H$3,$D$8&lt;=0,$M$3-F332,$D$8&gt;0,$M$3-F332+$D$8,G331&lt;F331,G332*calcs!$H$3)</f>
        <v>345.24777484228662</v>
      </c>
      <c r="F332" s="27" cm="1">
        <f t="array" ref="F332">_xlfn.IFS(F331="","",G331=0,"",G331&lt;1,"",G331&lt;F331,G331,AND(G331&gt;0,$D$8&gt;0),$D$8+($M$3-(G331*calcs!$H$3)),G331&gt;0,$M$3-(G331*calcs!$H$3))</f>
        <v>1318.00846310567</v>
      </c>
      <c r="G332" s="27" cm="1">
        <f t="array" ref="G332">_xlfn.IFS(F332="","",G331-F332&lt;1,0,ISBLANK(F332)=TRUE,"",G331-F332&gt;1,G331-F332)</f>
        <v>57867.324367000605</v>
      </c>
      <c r="H332" s="31">
        <f t="shared" si="5"/>
        <v>533905.25238129415</v>
      </c>
      <c r="I332" s="2" t="str" cm="1">
        <f t="array" ref="I332">_xlfn.IFS(OR(D332="",E332="",F332=""),"",MOD(D332,12)&lt;&gt;0,"",MOD(D332,12)=0,"Year End"&amp;" "&amp;D332/12)</f>
        <v/>
      </c>
      <c r="V332">
        <v>321</v>
      </c>
    </row>
    <row r="333" spans="4:22">
      <c r="D333" s="32">
        <f>IF(V333&lt;=calcs!$F$4,'Loan Calculator'!V333,"")</f>
        <v>322</v>
      </c>
      <c r="E333" s="29" cm="1">
        <f t="array" ref="E333">_xlfn.IFS(F333="","",G332&lt;F332,G332*calcs!$H$3,$D$8&lt;=0,$M$3-F333,$D$8&gt;0,$M$3-F333+$D$8,G332&lt;F332,G333*calcs!$H$3)</f>
        <v>337.55939214083696</v>
      </c>
      <c r="F333" s="29" cm="1">
        <f t="array" ref="F333">_xlfn.IFS(F332="","",G332=0,"",G332&lt;1,"",G332&lt;F332,G332,AND(G332&gt;0,$D$8&gt;0),$D$8+($M$3-(G332*calcs!$H$3)),G332&gt;0,$M$3-(G332*calcs!$H$3))</f>
        <v>1325.6968458071196</v>
      </c>
      <c r="G333" s="29" cm="1">
        <f t="array" ref="G333">_xlfn.IFS(F333="","",G332-F333&lt;1,0,ISBLANK(F333)=TRUE,"",G332-F333&gt;1,G332-F333)</f>
        <v>56541.627521193484</v>
      </c>
      <c r="H333" s="33">
        <f t="shared" si="5"/>
        <v>535568.50861924211</v>
      </c>
      <c r="I333" s="2" t="str" cm="1">
        <f t="array" ref="I333">_xlfn.IFS(OR(D333="",E333="",F333=""),"",MOD(D333,12)&lt;&gt;0,"",MOD(D333,12)=0,"Year End"&amp;" "&amp;D333/12)</f>
        <v/>
      </c>
      <c r="V333">
        <v>322</v>
      </c>
    </row>
    <row r="334" spans="4:22">
      <c r="D334" s="30">
        <f>IF(V334&lt;=calcs!$F$4,'Loan Calculator'!V334,"")</f>
        <v>323</v>
      </c>
      <c r="E334" s="27" cm="1">
        <f t="array" ref="E334">_xlfn.IFS(F334="","",G333&lt;F333,G333*calcs!$H$3,$D$8&lt;=0,$M$3-F334,$D$8&gt;0,$M$3-F334+$D$8,G333&lt;F333,G334*calcs!$H$3)</f>
        <v>329.8261605402954</v>
      </c>
      <c r="F334" s="27" cm="1">
        <f t="array" ref="F334">_xlfn.IFS(F333="","",G333=0,"",G333&lt;1,"",G333&lt;F333,G333,AND(G333&gt;0,$D$8&gt;0),$D$8+($M$3-(G333*calcs!$H$3)),G333&gt;0,$M$3-(G333*calcs!$H$3))</f>
        <v>1333.4300774076612</v>
      </c>
      <c r="G334" s="27" cm="1">
        <f t="array" ref="G334">_xlfn.IFS(F334="","",G333-F334&lt;1,0,ISBLANK(F334)=TRUE,"",G333-F334&gt;1,G333-F334)</f>
        <v>55208.197443785823</v>
      </c>
      <c r="H334" s="31">
        <f t="shared" ref="H334:H397" si="6">IF(OR(H333=0,H333="",E334="",F334=""),"",H333+E334+F334)</f>
        <v>537231.76485719008</v>
      </c>
      <c r="I334" s="2" t="str" cm="1">
        <f t="array" ref="I334">_xlfn.IFS(OR(D334="",E334="",F334=""),"",MOD(D334,12)&lt;&gt;0,"",MOD(D334,12)=0,"Year End"&amp;" "&amp;D334/12)</f>
        <v/>
      </c>
      <c r="V334">
        <v>323</v>
      </c>
    </row>
    <row r="335" spans="4:22">
      <c r="D335" s="32">
        <f>IF(V335&lt;=calcs!$F$4,'Loan Calculator'!V335,"")</f>
        <v>324</v>
      </c>
      <c r="E335" s="29" cm="1">
        <f t="array" ref="E335">_xlfn.IFS(F335="","",G334&lt;F334,G334*calcs!$H$3,$D$8&lt;=0,$M$3-F335,$D$8&gt;0,$M$3-F335+$D$8,G334&lt;F334,G335*calcs!$H$3)</f>
        <v>322.04781842208399</v>
      </c>
      <c r="F335" s="29" cm="1">
        <f t="array" ref="F335">_xlfn.IFS(F334="","",G334=0,"",G334&lt;1,"",G334&lt;F334,G334,AND(G334&gt;0,$D$8&gt;0),$D$8+($M$3-(G334*calcs!$H$3)),G334&gt;0,$M$3-(G334*calcs!$H$3))</f>
        <v>1341.2084195258726</v>
      </c>
      <c r="G335" s="29" cm="1">
        <f t="array" ref="G335">_xlfn.IFS(F335="","",G334-F335&lt;1,0,ISBLANK(F335)=TRUE,"",G334-F335&gt;1,G334-F335)</f>
        <v>53866.98902425995</v>
      </c>
      <c r="H335" s="33">
        <f t="shared" si="6"/>
        <v>538895.02109513804</v>
      </c>
      <c r="I335" s="2" t="str" cm="1">
        <f t="array" ref="I335">_xlfn.IFS(OR(D335="",E335="",F335=""),"",MOD(D335,12)&lt;&gt;0,"",MOD(D335,12)=0,"Year End"&amp;" "&amp;D335/12)</f>
        <v>Year End 27</v>
      </c>
      <c r="V335">
        <v>324</v>
      </c>
    </row>
    <row r="336" spans="4:22">
      <c r="D336" s="30">
        <f>IF(V336&lt;=calcs!$F$4,'Loan Calculator'!V336,"")</f>
        <v>325</v>
      </c>
      <c r="E336" s="27" cm="1">
        <f t="array" ref="E336">_xlfn.IFS(F336="","",G335&lt;F335,G335*calcs!$H$3,$D$8&lt;=0,$M$3-F336,$D$8&gt;0,$M$3-F336+$D$8,G335&lt;F335,G336*calcs!$H$3)</f>
        <v>314.22410264151631</v>
      </c>
      <c r="F336" s="27" cm="1">
        <f t="array" ref="F336">_xlfn.IFS(F335="","",G335=0,"",G335&lt;1,"",G335&lt;F335,G335,AND(G335&gt;0,$D$8&gt;0),$D$8+($M$3-(G335*calcs!$H$3)),G335&gt;0,$M$3-(G335*calcs!$H$3))</f>
        <v>1349.0321353064403</v>
      </c>
      <c r="G336" s="27" cm="1">
        <f t="array" ref="G336">_xlfn.IFS(F336="","",G335-F336&lt;1,0,ISBLANK(F336)=TRUE,"",G335-F336&gt;1,G335-F336)</f>
        <v>52517.956888953508</v>
      </c>
      <c r="H336" s="31">
        <f t="shared" si="6"/>
        <v>540558.27733308601</v>
      </c>
      <c r="I336" s="2" t="str" cm="1">
        <f t="array" ref="I336">_xlfn.IFS(OR(D336="",E336="",F336=""),"",MOD(D336,12)&lt;&gt;0,"",MOD(D336,12)=0,"Year End"&amp;" "&amp;D336/12)</f>
        <v/>
      </c>
      <c r="V336">
        <v>325</v>
      </c>
    </row>
    <row r="337" spans="4:22">
      <c r="D337" s="32">
        <f>IF(V337&lt;=calcs!$F$4,'Loan Calculator'!V337,"")</f>
        <v>326</v>
      </c>
      <c r="E337" s="29" cm="1">
        <f t="array" ref="E337">_xlfn.IFS(F337="","",G336&lt;F336,G336*calcs!$H$3,$D$8&lt;=0,$M$3-F337,$D$8&gt;0,$M$3-F337+$D$8,G336&lt;F336,G337*calcs!$H$3)</f>
        <v>306.35474851889535</v>
      </c>
      <c r="F337" s="29" cm="1">
        <f t="array" ref="F337">_xlfn.IFS(F336="","",G336=0,"",G336&lt;1,"",G336&lt;F336,G336,AND(G336&gt;0,$D$8&gt;0),$D$8+($M$3-(G336*calcs!$H$3)),G336&gt;0,$M$3-(G336*calcs!$H$3))</f>
        <v>1356.9014894290613</v>
      </c>
      <c r="G337" s="29" cm="1">
        <f t="array" ref="G337">_xlfn.IFS(F337="","",G336-F337&lt;1,0,ISBLANK(F337)=TRUE,"",G336-F337&gt;1,G336-F337)</f>
        <v>51161.055399524448</v>
      </c>
      <c r="H337" s="33">
        <f t="shared" si="6"/>
        <v>542221.53357103397</v>
      </c>
      <c r="I337" s="2" t="str" cm="1">
        <f t="array" ref="I337">_xlfn.IFS(OR(D337="",E337="",F337=""),"",MOD(D337,12)&lt;&gt;0,"",MOD(D337,12)=0,"Year End"&amp;" "&amp;D337/12)</f>
        <v/>
      </c>
      <c r="V337">
        <v>326</v>
      </c>
    </row>
    <row r="338" spans="4:22">
      <c r="D338" s="30">
        <f>IF(V338&lt;=calcs!$F$4,'Loan Calculator'!V338,"")</f>
        <v>327</v>
      </c>
      <c r="E338" s="27" cm="1">
        <f t="array" ref="E338">_xlfn.IFS(F338="","",G337&lt;F337,G337*calcs!$H$3,$D$8&lt;=0,$M$3-F338,$D$8&gt;0,$M$3-F338+$D$8,G337&lt;F337,G338*calcs!$H$3)</f>
        <v>298.4394898305593</v>
      </c>
      <c r="F338" s="27" cm="1">
        <f t="array" ref="F338">_xlfn.IFS(F337="","",G337=0,"",G337&lt;1,"",G337&lt;F337,G337,AND(G337&gt;0,$D$8&gt;0),$D$8+($M$3-(G337*calcs!$H$3)),G337&gt;0,$M$3-(G337*calcs!$H$3))</f>
        <v>1364.8167481173973</v>
      </c>
      <c r="G338" s="27" cm="1">
        <f t="array" ref="G338">_xlfn.IFS(F338="","",G337-F338&lt;1,0,ISBLANK(F338)=TRUE,"",G337-F338&gt;1,G337-F338)</f>
        <v>49796.238651407053</v>
      </c>
      <c r="H338" s="31">
        <f t="shared" si="6"/>
        <v>543884.78980898194</v>
      </c>
      <c r="I338" s="2" t="str" cm="1">
        <f t="array" ref="I338">_xlfn.IFS(OR(D338="",E338="",F338=""),"",MOD(D338,12)&lt;&gt;0,"",MOD(D338,12)=0,"Year End"&amp;" "&amp;D338/12)</f>
        <v/>
      </c>
      <c r="V338">
        <v>327</v>
      </c>
    </row>
    <row r="339" spans="4:22">
      <c r="D339" s="32">
        <f>IF(V339&lt;=calcs!$F$4,'Loan Calculator'!V339,"")</f>
        <v>328</v>
      </c>
      <c r="E339" s="29" cm="1">
        <f t="array" ref="E339">_xlfn.IFS(F339="","",G338&lt;F338,G338*calcs!$H$3,$D$8&lt;=0,$M$3-F339,$D$8&gt;0,$M$3-F339+$D$8,G338&lt;F338,G339*calcs!$H$3)</f>
        <v>290.47805879987459</v>
      </c>
      <c r="F339" s="29" cm="1">
        <f t="array" ref="F339">_xlfn.IFS(F338="","",G338=0,"",G338&lt;1,"",G338&lt;F338,G338,AND(G338&gt;0,$D$8&gt;0),$D$8+($M$3-(G338*calcs!$H$3)),G338&gt;0,$M$3-(G338*calcs!$H$3))</f>
        <v>1372.778179148082</v>
      </c>
      <c r="G339" s="29" cm="1">
        <f t="array" ref="G339">_xlfn.IFS(F339="","",G338-F339&lt;1,0,ISBLANK(F339)=TRUE,"",G338-F339&gt;1,G338-F339)</f>
        <v>48423.460472258972</v>
      </c>
      <c r="H339" s="33">
        <f t="shared" si="6"/>
        <v>545548.0460469299</v>
      </c>
      <c r="I339" s="2" t="str" cm="1">
        <f t="array" ref="I339">_xlfn.IFS(OR(D339="",E339="",F339=""),"",MOD(D339,12)&lt;&gt;0,"",MOD(D339,12)=0,"Year End"&amp;" "&amp;D339/12)</f>
        <v/>
      </c>
      <c r="V339">
        <v>328</v>
      </c>
    </row>
    <row r="340" spans="4:22">
      <c r="D340" s="30">
        <f>IF(V340&lt;=calcs!$F$4,'Loan Calculator'!V340,"")</f>
        <v>329</v>
      </c>
      <c r="E340" s="27" cm="1">
        <f t="array" ref="E340">_xlfn.IFS(F340="","",G339&lt;F339,G339*calcs!$H$3,$D$8&lt;=0,$M$3-F340,$D$8&gt;0,$M$3-F340+$D$8,G339&lt;F339,G340*calcs!$H$3)</f>
        <v>282.47018608817734</v>
      </c>
      <c r="F340" s="27" cm="1">
        <f t="array" ref="F340">_xlfn.IFS(F339="","",G339=0,"",G339&lt;1,"",G339&lt;F339,G339,AND(G339&gt;0,$D$8&gt;0),$D$8+($M$3-(G339*calcs!$H$3)),G339&gt;0,$M$3-(G339*calcs!$H$3))</f>
        <v>1380.7860518597793</v>
      </c>
      <c r="G340" s="27" cm="1">
        <f t="array" ref="G340">_xlfn.IFS(F340="","",G339-F340&lt;1,0,ISBLANK(F340)=TRUE,"",G339-F340&gt;1,G339-F340)</f>
        <v>47042.674420399191</v>
      </c>
      <c r="H340" s="31">
        <f t="shared" si="6"/>
        <v>547211.30228487786</v>
      </c>
      <c r="I340" s="2" t="str" cm="1">
        <f t="array" ref="I340">_xlfn.IFS(OR(D340="",E340="",F340=""),"",MOD(D340,12)&lt;&gt;0,"",MOD(D340,12)=0,"Year End"&amp;" "&amp;D340/12)</f>
        <v/>
      </c>
      <c r="V340">
        <v>329</v>
      </c>
    </row>
    <row r="341" spans="4:22">
      <c r="D341" s="32">
        <f>IF(V341&lt;=calcs!$F$4,'Loan Calculator'!V341,"")</f>
        <v>330</v>
      </c>
      <c r="E341" s="29" cm="1">
        <f t="array" ref="E341">_xlfn.IFS(F341="","",G340&lt;F340,G340*calcs!$H$3,$D$8&lt;=0,$M$3-F341,$D$8&gt;0,$M$3-F341+$D$8,G340&lt;F340,G341*calcs!$H$3)</f>
        <v>274.41560078566204</v>
      </c>
      <c r="F341" s="29" cm="1">
        <f t="array" ref="F341">_xlfn.IFS(F340="","",G340=0,"",G340&lt;1,"",G340&lt;F340,G340,AND(G340&gt;0,$D$8&gt;0),$D$8+($M$3-(G340*calcs!$H$3)),G340&gt;0,$M$3-(G340*calcs!$H$3))</f>
        <v>1388.8406371622946</v>
      </c>
      <c r="G341" s="29" cm="1">
        <f t="array" ref="G341">_xlfn.IFS(F341="","",G340-F341&lt;1,0,ISBLANK(F341)=TRUE,"",G340-F341&gt;1,G340-F341)</f>
        <v>45653.8337832369</v>
      </c>
      <c r="H341" s="33">
        <f t="shared" si="6"/>
        <v>548874.55852282583</v>
      </c>
      <c r="I341" s="2" t="str" cm="1">
        <f t="array" ref="I341">_xlfn.IFS(OR(D341="",E341="",F341=""),"",MOD(D341,12)&lt;&gt;0,"",MOD(D341,12)=0,"Year End"&amp;" "&amp;D341/12)</f>
        <v/>
      </c>
      <c r="V341">
        <v>330</v>
      </c>
    </row>
    <row r="342" spans="4:22">
      <c r="D342" s="30">
        <f>IF(V342&lt;=calcs!$F$4,'Loan Calculator'!V342,"")</f>
        <v>331</v>
      </c>
      <c r="E342" s="27" cm="1">
        <f t="array" ref="E342">_xlfn.IFS(F342="","",G341&lt;F341,G341*calcs!$H$3,$D$8&lt;=0,$M$3-F342,$D$8&gt;0,$M$3-F342+$D$8,G341&lt;F341,G342*calcs!$H$3)</f>
        <v>266.31403040221517</v>
      </c>
      <c r="F342" s="27" cm="1">
        <f t="array" ref="F342">_xlfn.IFS(F341="","",G341=0,"",G341&lt;1,"",G341&lt;F341,G341,AND(G341&gt;0,$D$8&gt;0),$D$8+($M$3-(G341*calcs!$H$3)),G341&gt;0,$M$3-(G341*calcs!$H$3))</f>
        <v>1396.9422075457414</v>
      </c>
      <c r="G342" s="27" cm="1">
        <f t="array" ref="G342">_xlfn.IFS(F342="","",G341-F342&lt;1,0,ISBLANK(F342)=TRUE,"",G341-F342&gt;1,G341-F342)</f>
        <v>44256.891575691159</v>
      </c>
      <c r="H342" s="31">
        <f t="shared" si="6"/>
        <v>550537.81476077379</v>
      </c>
      <c r="I342" s="2" t="str" cm="1">
        <f t="array" ref="I342">_xlfn.IFS(OR(D342="",E342="",F342=""),"",MOD(D342,12)&lt;&gt;0,"",MOD(D342,12)=0,"Year End"&amp;" "&amp;D342/12)</f>
        <v/>
      </c>
      <c r="V342">
        <v>331</v>
      </c>
    </row>
    <row r="343" spans="4:22">
      <c r="D343" s="32">
        <f>IF(V343&lt;=calcs!$F$4,'Loan Calculator'!V343,"")</f>
        <v>332</v>
      </c>
      <c r="E343" s="29" cm="1">
        <f t="array" ref="E343">_xlfn.IFS(F343="","",G342&lt;F342,G342*calcs!$H$3,$D$8&lt;=0,$M$3-F343,$D$8&gt;0,$M$3-F343+$D$8,G342&lt;F342,G343*calcs!$H$3)</f>
        <v>258.16520085819843</v>
      </c>
      <c r="F343" s="29" cm="1">
        <f t="array" ref="F343">_xlfn.IFS(F342="","",G342=0,"",G342&lt;1,"",G342&lt;F342,G342,AND(G342&gt;0,$D$8&gt;0),$D$8+($M$3-(G342*calcs!$H$3)),G342&gt;0,$M$3-(G342*calcs!$H$3))</f>
        <v>1405.0910370897582</v>
      </c>
      <c r="G343" s="29" cm="1">
        <f t="array" ref="G343">_xlfn.IFS(F343="","",G342-F343&lt;1,0,ISBLANK(F343)=TRUE,"",G342-F343&gt;1,G342-F343)</f>
        <v>42851.800538601397</v>
      </c>
      <c r="H343" s="33">
        <f t="shared" si="6"/>
        <v>552201.07099872164</v>
      </c>
      <c r="I343" s="2" t="str" cm="1">
        <f t="array" ref="I343">_xlfn.IFS(OR(D343="",E343="",F343=""),"",MOD(D343,12)&lt;&gt;0,"",MOD(D343,12)=0,"Year End"&amp;" "&amp;D343/12)</f>
        <v/>
      </c>
      <c r="V343">
        <v>332</v>
      </c>
    </row>
    <row r="344" spans="4:22">
      <c r="D344" s="30">
        <f>IF(V344&lt;=calcs!$F$4,'Loan Calculator'!V344,"")</f>
        <v>333</v>
      </c>
      <c r="E344" s="27" cm="1">
        <f t="array" ref="E344">_xlfn.IFS(F344="","",G343&lt;F343,G343*calcs!$H$3,$D$8&lt;=0,$M$3-F344,$D$8&gt;0,$M$3-F344+$D$8,G343&lt;F343,G344*calcs!$H$3)</f>
        <v>249.96883647517484</v>
      </c>
      <c r="F344" s="27" cm="1">
        <f t="array" ref="F344">_xlfn.IFS(F343="","",G343=0,"",G343&lt;1,"",G343&lt;F343,G343,AND(G343&gt;0,$D$8&gt;0),$D$8+($M$3-(G343*calcs!$H$3)),G343&gt;0,$M$3-(G343*calcs!$H$3))</f>
        <v>1413.2874014727818</v>
      </c>
      <c r="G344" s="27" cm="1">
        <f t="array" ref="G344">_xlfn.IFS(F344="","",G343-F344&lt;1,0,ISBLANK(F344)=TRUE,"",G343-F344&gt;1,G343-F344)</f>
        <v>41438.513137128619</v>
      </c>
      <c r="H344" s="31">
        <f t="shared" si="6"/>
        <v>553864.3272366696</v>
      </c>
      <c r="I344" s="2" t="str" cm="1">
        <f t="array" ref="I344">_xlfn.IFS(OR(D344="",E344="",F344=""),"",MOD(D344,12)&lt;&gt;0,"",MOD(D344,12)=0,"Year End"&amp;" "&amp;D344/12)</f>
        <v/>
      </c>
      <c r="V344">
        <v>333</v>
      </c>
    </row>
    <row r="345" spans="4:22">
      <c r="D345" s="32">
        <f>IF(V345&lt;=calcs!$F$4,'Loan Calculator'!V345,"")</f>
        <v>334</v>
      </c>
      <c r="E345" s="29" cm="1">
        <f t="array" ref="E345">_xlfn.IFS(F345="","",G344&lt;F344,G344*calcs!$H$3,$D$8&lt;=0,$M$3-F345,$D$8&gt;0,$M$3-F345+$D$8,G344&lt;F344,G345*calcs!$H$3)</f>
        <v>241.72465996658366</v>
      </c>
      <c r="F345" s="29" cm="1">
        <f t="array" ref="F345">_xlfn.IFS(F344="","",G344=0,"",G344&lt;1,"",G344&lt;F344,G344,AND(G344&gt;0,$D$8&gt;0),$D$8+($M$3-(G344*calcs!$H$3)),G344&gt;0,$M$3-(G344*calcs!$H$3))</f>
        <v>1421.5315779813729</v>
      </c>
      <c r="G345" s="29" cm="1">
        <f t="array" ref="G345">_xlfn.IFS(F345="","",G344-F345&lt;1,0,ISBLANK(F345)=TRUE,"",G344-F345&gt;1,G344-F345)</f>
        <v>40016.981559147243</v>
      </c>
      <c r="H345" s="33">
        <f t="shared" si="6"/>
        <v>555527.58347461757</v>
      </c>
      <c r="I345" s="2" t="str" cm="1">
        <f t="array" ref="I345">_xlfn.IFS(OR(D345="",E345="",F345=""),"",MOD(D345,12)&lt;&gt;0,"",MOD(D345,12)=0,"Year End"&amp;" "&amp;D345/12)</f>
        <v/>
      </c>
      <c r="V345">
        <v>334</v>
      </c>
    </row>
    <row r="346" spans="4:22">
      <c r="D346" s="30">
        <f>IF(V346&lt;=calcs!$F$4,'Loan Calculator'!V346,"")</f>
        <v>335</v>
      </c>
      <c r="E346" s="27" cm="1">
        <f t="array" ref="E346">_xlfn.IFS(F346="","",G345&lt;F345,G345*calcs!$H$3,$D$8&lt;=0,$M$3-F346,$D$8&gt;0,$M$3-F346+$D$8,G345&lt;F345,G346*calcs!$H$3)</f>
        <v>233.43239242835898</v>
      </c>
      <c r="F346" s="27" cm="1">
        <f t="array" ref="F346">_xlfn.IFS(F345="","",G345=0,"",G345&lt;1,"",G345&lt;F345,G345,AND(G345&gt;0,$D$8&gt;0),$D$8+($M$3-(G345*calcs!$H$3)),G345&gt;0,$M$3-(G345*calcs!$H$3))</f>
        <v>1429.8238455195976</v>
      </c>
      <c r="G346" s="27" cm="1">
        <f t="array" ref="G346">_xlfn.IFS(F346="","",G345-F346&lt;1,0,ISBLANK(F346)=TRUE,"",G345-F346&gt;1,G345-F346)</f>
        <v>38587.157713627646</v>
      </c>
      <c r="H346" s="31">
        <f t="shared" si="6"/>
        <v>557190.83971256553</v>
      </c>
      <c r="I346" s="2" t="str" cm="1">
        <f t="array" ref="I346">_xlfn.IFS(OR(D346="",E346="",F346=""),"",MOD(D346,12)&lt;&gt;0,"",MOD(D346,12)=0,"Year End"&amp;" "&amp;D346/12)</f>
        <v/>
      </c>
      <c r="V346">
        <v>335</v>
      </c>
    </row>
    <row r="347" spans="4:22">
      <c r="D347" s="32">
        <f>IF(V347&lt;=calcs!$F$4,'Loan Calculator'!V347,"")</f>
        <v>336</v>
      </c>
      <c r="E347" s="29" cm="1">
        <f t="array" ref="E347">_xlfn.IFS(F347="","",G346&lt;F346,G346*calcs!$H$3,$D$8&lt;=0,$M$3-F347,$D$8&gt;0,$M$3-F347+$D$8,G346&lt;F346,G347*calcs!$H$3)</f>
        <v>225.09175332949462</v>
      </c>
      <c r="F347" s="29" cm="1">
        <f t="array" ref="F347">_xlfn.IFS(F346="","",G346=0,"",G346&lt;1,"",G346&lt;F346,G346,AND(G346&gt;0,$D$8&gt;0),$D$8+($M$3-(G346*calcs!$H$3)),G346&gt;0,$M$3-(G346*calcs!$H$3))</f>
        <v>1438.164484618462</v>
      </c>
      <c r="G347" s="29" cm="1">
        <f t="array" ref="G347">_xlfn.IFS(F347="","",G346-F347&lt;1,0,ISBLANK(F347)=TRUE,"",G346-F347&gt;1,G346-F347)</f>
        <v>37148.993229009182</v>
      </c>
      <c r="H347" s="33">
        <f t="shared" si="6"/>
        <v>558854.0959505135</v>
      </c>
      <c r="I347" s="2" t="str" cm="1">
        <f t="array" ref="I347">_xlfn.IFS(OR(D347="",E347="",F347=""),"",MOD(D347,12)&lt;&gt;0,"",MOD(D347,12)=0,"Year End"&amp;" "&amp;D347/12)</f>
        <v>Year End 28</v>
      </c>
      <c r="V347">
        <v>336</v>
      </c>
    </row>
    <row r="348" spans="4:22">
      <c r="D348" s="30">
        <f>IF(V348&lt;=calcs!$F$4,'Loan Calculator'!V348,"")</f>
        <v>337</v>
      </c>
      <c r="E348" s="27" cm="1">
        <f t="array" ref="E348">_xlfn.IFS(F348="","",G347&lt;F347,G347*calcs!$H$3,$D$8&lt;=0,$M$3-F348,$D$8&gt;0,$M$3-F348+$D$8,G347&lt;F347,G348*calcs!$H$3)</f>
        <v>216.70246050255355</v>
      </c>
      <c r="F348" s="27" cm="1">
        <f t="array" ref="F348">_xlfn.IFS(F347="","",G347=0,"",G347&lt;1,"",G347&lt;F347,G347,AND(G347&gt;0,$D$8&gt;0),$D$8+($M$3-(G347*calcs!$H$3)),G347&gt;0,$M$3-(G347*calcs!$H$3))</f>
        <v>1446.5537774454031</v>
      </c>
      <c r="G348" s="27" cm="1">
        <f t="array" ref="G348">_xlfn.IFS(F348="","",G347-F348&lt;1,0,ISBLANK(F348)=TRUE,"",G347-F348&gt;1,G347-F348)</f>
        <v>35702.439451563776</v>
      </c>
      <c r="H348" s="31">
        <f t="shared" si="6"/>
        <v>560517.35218846146</v>
      </c>
      <c r="I348" s="2" t="str" cm="1">
        <f t="array" ref="I348">_xlfn.IFS(OR(D348="",E348="",F348=""),"",MOD(D348,12)&lt;&gt;0,"",MOD(D348,12)=0,"Year End"&amp;" "&amp;D348/12)</f>
        <v/>
      </c>
      <c r="V348">
        <v>337</v>
      </c>
    </row>
    <row r="349" spans="4:22">
      <c r="D349" s="32">
        <f>IF(V349&lt;=calcs!$F$4,'Loan Calculator'!V349,"")</f>
        <v>338</v>
      </c>
      <c r="E349" s="29" cm="1">
        <f t="array" ref="E349">_xlfn.IFS(F349="","",G348&lt;F348,G348*calcs!$H$3,$D$8&lt;=0,$M$3-F349,$D$8&gt;0,$M$3-F349+$D$8,G348&lt;F348,G349*calcs!$H$3)</f>
        <v>208.26423013412204</v>
      </c>
      <c r="F349" s="29" cm="1">
        <f t="array" ref="F349">_xlfn.IFS(F348="","",G348=0,"",G348&lt;1,"",G348&lt;F348,G348,AND(G348&gt;0,$D$8&gt;0),$D$8+($M$3-(G348*calcs!$H$3)),G348&gt;0,$M$3-(G348*calcs!$H$3))</f>
        <v>1454.9920078138346</v>
      </c>
      <c r="G349" s="29" cm="1">
        <f t="array" ref="G349">_xlfn.IFS(F349="","",G348-F349&lt;1,0,ISBLANK(F349)=TRUE,"",G348-F349&gt;1,G348-F349)</f>
        <v>34247.447443749945</v>
      </c>
      <c r="H349" s="33">
        <f t="shared" si="6"/>
        <v>562180.60842640942</v>
      </c>
      <c r="I349" s="2" t="str" cm="1">
        <f t="array" ref="I349">_xlfn.IFS(OR(D349="",E349="",F349=""),"",MOD(D349,12)&lt;&gt;0,"",MOD(D349,12)=0,"Year End"&amp;" "&amp;D349/12)</f>
        <v/>
      </c>
      <c r="V349">
        <v>338</v>
      </c>
    </row>
    <row r="350" spans="4:22">
      <c r="D350" s="30">
        <f>IF(V350&lt;=calcs!$F$4,'Loan Calculator'!V350,"")</f>
        <v>339</v>
      </c>
      <c r="E350" s="27" cm="1">
        <f t="array" ref="E350">_xlfn.IFS(F350="","",G349&lt;F349,G349*calcs!$H$3,$D$8&lt;=0,$M$3-F350,$D$8&gt;0,$M$3-F350+$D$8,G349&lt;F349,G350*calcs!$H$3)</f>
        <v>199.77677675520795</v>
      </c>
      <c r="F350" s="27" cm="1">
        <f t="array" ref="F350">_xlfn.IFS(F349="","",G349=0,"",G349&lt;1,"",G349&lt;F349,G349,AND(G349&gt;0,$D$8&gt;0),$D$8+($M$3-(G349*calcs!$H$3)),G349&gt;0,$M$3-(G349*calcs!$H$3))</f>
        <v>1463.4794611927487</v>
      </c>
      <c r="G350" s="27" cm="1">
        <f t="array" ref="G350">_xlfn.IFS(F350="","",G349-F350&lt;1,0,ISBLANK(F350)=TRUE,"",G349-F350&gt;1,G349-F350)</f>
        <v>32783.967982557195</v>
      </c>
      <c r="H350" s="31">
        <f t="shared" si="6"/>
        <v>563843.86466435739</v>
      </c>
      <c r="I350" s="2" t="str" cm="1">
        <f t="array" ref="I350">_xlfn.IFS(OR(D350="",E350="",F350=""),"",MOD(D350,12)&lt;&gt;0,"",MOD(D350,12)=0,"Year End"&amp;" "&amp;D350/12)</f>
        <v/>
      </c>
      <c r="V350">
        <v>339</v>
      </c>
    </row>
    <row r="351" spans="4:22">
      <c r="D351" s="32">
        <f>IF(V351&lt;=calcs!$F$4,'Loan Calculator'!V351,"")</f>
        <v>340</v>
      </c>
      <c r="E351" s="29" cm="1">
        <f t="array" ref="E351">_xlfn.IFS(F351="","",G350&lt;F350,G350*calcs!$H$3,$D$8&lt;=0,$M$3-F351,$D$8&gt;0,$M$3-F351+$D$8,G350&lt;F350,G351*calcs!$H$3)</f>
        <v>191.23981323158364</v>
      </c>
      <c r="F351" s="29" cm="1">
        <f t="array" ref="F351">_xlfn.IFS(F350="","",G350=0,"",G350&lt;1,"",G350&lt;F350,G350,AND(G350&gt;0,$D$8&gt;0),$D$8+($M$3-(G350*calcs!$H$3)),G350&gt;0,$M$3-(G350*calcs!$H$3))</f>
        <v>1472.016424716373</v>
      </c>
      <c r="G351" s="29" cm="1">
        <f t="array" ref="G351">_xlfn.IFS(F351="","",G350-F351&lt;1,0,ISBLANK(F351)=TRUE,"",G350-F351&gt;1,G350-F351)</f>
        <v>31311.951557840821</v>
      </c>
      <c r="H351" s="33">
        <f t="shared" si="6"/>
        <v>565507.12090230535</v>
      </c>
      <c r="I351" s="2" t="str" cm="1">
        <f t="array" ref="I351">_xlfn.IFS(OR(D351="",E351="",F351=""),"",MOD(D351,12)&lt;&gt;0,"",MOD(D351,12)=0,"Year End"&amp;" "&amp;D351/12)</f>
        <v/>
      </c>
      <c r="V351">
        <v>340</v>
      </c>
    </row>
    <row r="352" spans="4:22">
      <c r="D352" s="30">
        <f>IF(V352&lt;=calcs!$F$4,'Loan Calculator'!V352,"")</f>
        <v>341</v>
      </c>
      <c r="E352" s="27" cm="1">
        <f t="array" ref="E352">_xlfn.IFS(F352="","",G351&lt;F351,G351*calcs!$H$3,$D$8&lt;=0,$M$3-F352,$D$8&gt;0,$M$3-F352+$D$8,G351&lt;F351,G352*calcs!$H$3)</f>
        <v>182.6530507540715</v>
      </c>
      <c r="F352" s="27" cm="1">
        <f t="array" ref="F352">_xlfn.IFS(F351="","",G351=0,"",G351&lt;1,"",G351&lt;F351,G351,AND(G351&gt;0,$D$8&gt;0),$D$8+($M$3-(G351*calcs!$H$3)),G351&gt;0,$M$3-(G351*calcs!$H$3))</f>
        <v>1480.6031871938851</v>
      </c>
      <c r="G352" s="27" cm="1">
        <f t="array" ref="G352">_xlfn.IFS(F352="","",G351-F352&lt;1,0,ISBLANK(F352)=TRUE,"",G351-F352&gt;1,G351-F352)</f>
        <v>29831.348370646934</v>
      </c>
      <c r="H352" s="31">
        <f t="shared" si="6"/>
        <v>567170.37714025332</v>
      </c>
      <c r="I352" s="2" t="str" cm="1">
        <f t="array" ref="I352">_xlfn.IFS(OR(D352="",E352="",F352=""),"",MOD(D352,12)&lt;&gt;0,"",MOD(D352,12)=0,"Year End"&amp;" "&amp;D352/12)</f>
        <v/>
      </c>
      <c r="V352">
        <v>341</v>
      </c>
    </row>
    <row r="353" spans="4:22">
      <c r="D353" s="32">
        <f>IF(V353&lt;=calcs!$F$4,'Loan Calculator'!V353,"")</f>
        <v>342</v>
      </c>
      <c r="E353" s="29" cm="1">
        <f t="array" ref="E353">_xlfn.IFS(F353="","",G352&lt;F352,G352*calcs!$H$3,$D$8&lt;=0,$M$3-F353,$D$8&gt;0,$M$3-F353+$D$8,G352&lt;F352,G353*calcs!$H$3)</f>
        <v>174.0161988287739</v>
      </c>
      <c r="F353" s="29" cm="1">
        <f t="array" ref="F353">_xlfn.IFS(F352="","",G352=0,"",G352&lt;1,"",G352&lt;F352,G352,AND(G352&gt;0,$D$8&gt;0),$D$8+($M$3-(G352*calcs!$H$3)),G352&gt;0,$M$3-(G352*calcs!$H$3))</f>
        <v>1489.2400391191827</v>
      </c>
      <c r="G353" s="29" cm="1">
        <f t="array" ref="G353">_xlfn.IFS(F353="","",G352-F353&lt;1,0,ISBLANK(F353)=TRUE,"",G352-F353&gt;1,G352-F353)</f>
        <v>28342.10833152775</v>
      </c>
      <c r="H353" s="33">
        <f t="shared" si="6"/>
        <v>568833.63337820128</v>
      </c>
      <c r="I353" s="2" t="str" cm="1">
        <f t="array" ref="I353">_xlfn.IFS(OR(D353="",E353="",F353=""),"",MOD(D353,12)&lt;&gt;0,"",MOD(D353,12)=0,"Year End"&amp;" "&amp;D353/12)</f>
        <v/>
      </c>
      <c r="V353">
        <v>342</v>
      </c>
    </row>
    <row r="354" spans="4:22">
      <c r="D354" s="30">
        <f>IF(V354&lt;=calcs!$F$4,'Loan Calculator'!V354,"")</f>
        <v>343</v>
      </c>
      <c r="E354" s="27" cm="1">
        <f t="array" ref="E354">_xlfn.IFS(F354="","",G353&lt;F353,G353*calcs!$H$3,$D$8&lt;=0,$M$3-F354,$D$8&gt;0,$M$3-F354+$D$8,G353&lt;F353,G354*calcs!$H$3)</f>
        <v>165.32896526724517</v>
      </c>
      <c r="F354" s="27" cm="1">
        <f t="array" ref="F354">_xlfn.IFS(F353="","",G353=0,"",G353&lt;1,"",G353&lt;F353,G353,AND(G353&gt;0,$D$8&gt;0),$D$8+($M$3-(G353*calcs!$H$3)),G353&gt;0,$M$3-(G353*calcs!$H$3))</f>
        <v>1497.9272726807114</v>
      </c>
      <c r="G354" s="27" cm="1">
        <f t="array" ref="G354">_xlfn.IFS(F354="","",G353-F354&lt;1,0,ISBLANK(F354)=TRUE,"",G353-F354&gt;1,G353-F354)</f>
        <v>26844.18105884704</v>
      </c>
      <c r="H354" s="31">
        <f t="shared" si="6"/>
        <v>570496.88961614924</v>
      </c>
      <c r="I354" s="2" t="str" cm="1">
        <f t="array" ref="I354">_xlfn.IFS(OR(D354="",E354="",F354=""),"",MOD(D354,12)&lt;&gt;0,"",MOD(D354,12)=0,"Year End"&amp;" "&amp;D354/12)</f>
        <v/>
      </c>
      <c r="V354">
        <v>343</v>
      </c>
    </row>
    <row r="355" spans="4:22">
      <c r="D355" s="32">
        <f>IF(V355&lt;=calcs!$F$4,'Loan Calculator'!V355,"")</f>
        <v>344</v>
      </c>
      <c r="E355" s="29" cm="1">
        <f t="array" ref="E355">_xlfn.IFS(F355="","",G354&lt;F354,G354*calcs!$H$3,$D$8&lt;=0,$M$3-F355,$D$8&gt;0,$M$3-F355+$D$8,G354&lt;F354,G355*calcs!$H$3)</f>
        <v>156.59105617660771</v>
      </c>
      <c r="F355" s="29" cm="1">
        <f t="array" ref="F355">_xlfn.IFS(F354="","",G354=0,"",G354&lt;1,"",G354&lt;F354,G354,AND(G354&gt;0,$D$8&gt;0),$D$8+($M$3-(G354*calcs!$H$3)),G354&gt;0,$M$3-(G354*calcs!$H$3))</f>
        <v>1506.6651817713489</v>
      </c>
      <c r="G355" s="29" cm="1">
        <f t="array" ref="G355">_xlfn.IFS(F355="","",G354-F355&lt;1,0,ISBLANK(F355)=TRUE,"",G354-F355&gt;1,G354-F355)</f>
        <v>25337.51587707569</v>
      </c>
      <c r="H355" s="33">
        <f t="shared" si="6"/>
        <v>572160.14585409721</v>
      </c>
      <c r="I355" s="2" t="str" cm="1">
        <f t="array" ref="I355">_xlfn.IFS(OR(D355="",E355="",F355=""),"",MOD(D355,12)&lt;&gt;0,"",MOD(D355,12)=0,"Year End"&amp;" "&amp;D355/12)</f>
        <v/>
      </c>
      <c r="V355">
        <v>344</v>
      </c>
    </row>
    <row r="356" spans="4:22">
      <c r="D356" s="30">
        <f>IF(V356&lt;=calcs!$F$4,'Loan Calculator'!V356,"")</f>
        <v>345</v>
      </c>
      <c r="E356" s="27" cm="1">
        <f t="array" ref="E356">_xlfn.IFS(F356="","",G355&lt;F355,G355*calcs!$H$3,$D$8&lt;=0,$M$3-F356,$D$8&gt;0,$M$3-F356+$D$8,G355&lt;F355,G356*calcs!$H$3)</f>
        <v>147.80217594960823</v>
      </c>
      <c r="F356" s="27" cm="1">
        <f t="array" ref="F356">_xlfn.IFS(F355="","",G355=0,"",G355&lt;1,"",G355&lt;F355,G355,AND(G355&gt;0,$D$8&gt;0),$D$8+($M$3-(G355*calcs!$H$3)),G355&gt;0,$M$3-(G355*calcs!$H$3))</f>
        <v>1515.4540619983484</v>
      </c>
      <c r="G356" s="27" cm="1">
        <f t="array" ref="G356">_xlfn.IFS(F356="","",G355-F356&lt;1,0,ISBLANK(F356)=TRUE,"",G355-F356&gt;1,G355-F356)</f>
        <v>23822.061815077341</v>
      </c>
      <c r="H356" s="31">
        <f t="shared" si="6"/>
        <v>573823.40209204517</v>
      </c>
      <c r="I356" s="2" t="str" cm="1">
        <f t="array" ref="I356">_xlfn.IFS(OR(D356="",E356="",F356=""),"",MOD(D356,12)&lt;&gt;0,"",MOD(D356,12)=0,"Year End"&amp;" "&amp;D356/12)</f>
        <v/>
      </c>
      <c r="V356">
        <v>345</v>
      </c>
    </row>
    <row r="357" spans="4:22">
      <c r="D357" s="32">
        <f>IF(V357&lt;=calcs!$F$4,'Loan Calculator'!V357,"")</f>
        <v>346</v>
      </c>
      <c r="E357" s="29" cm="1">
        <f t="array" ref="E357">_xlfn.IFS(F357="","",G356&lt;F356,G356*calcs!$H$3,$D$8&lt;=0,$M$3-F357,$D$8&gt;0,$M$3-F357+$D$8,G356&lt;F356,G357*calcs!$H$3)</f>
        <v>138.96202725461785</v>
      </c>
      <c r="F357" s="29" cm="1">
        <f t="array" ref="F357">_xlfn.IFS(F356="","",G356=0,"",G356&lt;1,"",G356&lt;F356,G356,AND(G356&gt;0,$D$8&gt;0),$D$8+($M$3-(G356*calcs!$H$3)),G356&gt;0,$M$3-(G356*calcs!$H$3))</f>
        <v>1524.2942106933388</v>
      </c>
      <c r="G357" s="29" cm="1">
        <f t="array" ref="G357">_xlfn.IFS(F357="","",G356-F357&lt;1,0,ISBLANK(F357)=TRUE,"",G356-F357&gt;1,G356-F357)</f>
        <v>22297.767604384004</v>
      </c>
      <c r="H357" s="33">
        <f t="shared" si="6"/>
        <v>575486.65832999314</v>
      </c>
      <c r="I357" s="2" t="str" cm="1">
        <f t="array" ref="I357">_xlfn.IFS(OR(D357="",E357="",F357=""),"",MOD(D357,12)&lt;&gt;0,"",MOD(D357,12)=0,"Year End"&amp;" "&amp;D357/12)</f>
        <v/>
      </c>
      <c r="V357">
        <v>346</v>
      </c>
    </row>
    <row r="358" spans="4:22">
      <c r="D358" s="30">
        <f>IF(V358&lt;=calcs!$F$4,'Loan Calculator'!V358,"")</f>
        <v>347</v>
      </c>
      <c r="E358" s="27" cm="1">
        <f t="array" ref="E358">_xlfn.IFS(F358="","",G357&lt;F357,G357*calcs!$H$3,$D$8&lt;=0,$M$3-F358,$D$8&gt;0,$M$3-F358+$D$8,G357&lt;F357,G358*calcs!$H$3)</f>
        <v>130.07031102557335</v>
      </c>
      <c r="F358" s="27" cm="1">
        <f t="array" ref="F358">_xlfn.IFS(F357="","",G357=0,"",G357&lt;1,"",G357&lt;F357,G357,AND(G357&gt;0,$D$8&gt;0),$D$8+($M$3-(G357*calcs!$H$3)),G357&gt;0,$M$3-(G357*calcs!$H$3))</f>
        <v>1533.1859269223833</v>
      </c>
      <c r="G358" s="27" cm="1">
        <f t="array" ref="G358">_xlfn.IFS(F358="","",G357-F358&lt;1,0,ISBLANK(F358)=TRUE,"",G357-F358&gt;1,G357-F358)</f>
        <v>20764.581677461621</v>
      </c>
      <c r="H358" s="31">
        <f t="shared" si="6"/>
        <v>577149.9145679411</v>
      </c>
      <c r="I358" s="2" t="str" cm="1">
        <f t="array" ref="I358">_xlfn.IFS(OR(D358="",E358="",F358=""),"",MOD(D358,12)&lt;&gt;0,"",MOD(D358,12)=0,"Year End"&amp;" "&amp;D358/12)</f>
        <v/>
      </c>
      <c r="V358">
        <v>347</v>
      </c>
    </row>
    <row r="359" spans="4:22">
      <c r="D359" s="32">
        <f>IF(V359&lt;=calcs!$F$4,'Loan Calculator'!V359,"")</f>
        <v>348</v>
      </c>
      <c r="E359" s="29" cm="1">
        <f t="array" ref="E359">_xlfn.IFS(F359="","",G358&lt;F358,G358*calcs!$H$3,$D$8&lt;=0,$M$3-F359,$D$8&gt;0,$M$3-F359+$D$8,G358&lt;F358,G359*calcs!$H$3)</f>
        <v>121.12672645185944</v>
      </c>
      <c r="F359" s="29" cm="1">
        <f t="array" ref="F359">_xlfn.IFS(F358="","",G358=0,"",G358&lt;1,"",G358&lt;F358,G358,AND(G358&gt;0,$D$8&gt;0),$D$8+($M$3-(G358*calcs!$H$3)),G358&gt;0,$M$3-(G358*calcs!$H$3))</f>
        <v>1542.1295114960972</v>
      </c>
      <c r="G359" s="29" cm="1">
        <f t="array" ref="G359">_xlfn.IFS(F359="","",G358-F359&lt;1,0,ISBLANK(F359)=TRUE,"",G358-F359&gt;1,G358-F359)</f>
        <v>19222.452165965526</v>
      </c>
      <c r="H359" s="33">
        <f t="shared" si="6"/>
        <v>578813.17080588907</v>
      </c>
      <c r="I359" s="2" t="str" cm="1">
        <f t="array" ref="I359">_xlfn.IFS(OR(D359="",E359="",F359=""),"",MOD(D359,12)&lt;&gt;0,"",MOD(D359,12)=0,"Year End"&amp;" "&amp;D359/12)</f>
        <v>Year End 29</v>
      </c>
      <c r="V359">
        <v>348</v>
      </c>
    </row>
    <row r="360" spans="4:22">
      <c r="D360" s="30">
        <f>IF(V360&lt;=calcs!$F$4,'Loan Calculator'!V360,"")</f>
        <v>349</v>
      </c>
      <c r="E360" s="27" cm="1">
        <f t="array" ref="E360">_xlfn.IFS(F360="","",G359&lt;F359,G359*calcs!$H$3,$D$8&lt;=0,$M$3-F360,$D$8&gt;0,$M$3-F360+$D$8,G359&lt;F359,G360*calcs!$H$3)</f>
        <v>112.13097096813226</v>
      </c>
      <c r="F360" s="27" cm="1">
        <f t="array" ref="F360">_xlfn.IFS(F359="","",G359=0,"",G359&lt;1,"",G359&lt;F359,G359,AND(G359&gt;0,$D$8&gt;0),$D$8+($M$3-(G359*calcs!$H$3)),G359&gt;0,$M$3-(G359*calcs!$H$3))</f>
        <v>1551.1252669798243</v>
      </c>
      <c r="G360" s="27" cm="1">
        <f t="array" ref="G360">_xlfn.IFS(F360="","",G359-F360&lt;1,0,ISBLANK(F360)=TRUE,"",G359-F360&gt;1,G359-F360)</f>
        <v>17671.326898985702</v>
      </c>
      <c r="H360" s="31">
        <f t="shared" si="6"/>
        <v>580476.42704383703</v>
      </c>
      <c r="I360" s="2" t="str" cm="1">
        <f t="array" ref="I360">_xlfn.IFS(OR(D360="",E360="",F360=""),"",MOD(D360,12)&lt;&gt;0,"",MOD(D360,12)=0,"Year End"&amp;" "&amp;D360/12)</f>
        <v/>
      </c>
      <c r="V360">
        <v>349</v>
      </c>
    </row>
    <row r="361" spans="4:22">
      <c r="D361" s="32">
        <f>IF(V361&lt;=calcs!$F$4,'Loan Calculator'!V361,"")</f>
        <v>350</v>
      </c>
      <c r="E361" s="29" cm="1">
        <f t="array" ref="E361">_xlfn.IFS(F361="","",G360&lt;F360,G360*calcs!$H$3,$D$8&lt;=0,$M$3-F361,$D$8&gt;0,$M$3-F361+$D$8,G360&lt;F360,G361*calcs!$H$3)</f>
        <v>103.0827402440832</v>
      </c>
      <c r="F361" s="29" cm="1">
        <f t="array" ref="F361">_xlfn.IFS(F360="","",G360=0,"",G360&lt;1,"",G360&lt;F360,G360,AND(G360&gt;0,$D$8&gt;0),$D$8+($M$3-(G360*calcs!$H$3)),G360&gt;0,$M$3-(G360*calcs!$H$3))</f>
        <v>1560.1734977038734</v>
      </c>
      <c r="G361" s="29" cm="1">
        <f t="array" ref="G361">_xlfn.IFS(F361="","",G360-F361&lt;1,0,ISBLANK(F361)=TRUE,"",G360-F361&gt;1,G360-F361)</f>
        <v>16111.153401281828</v>
      </c>
      <c r="H361" s="33">
        <f t="shared" si="6"/>
        <v>582139.68328178499</v>
      </c>
      <c r="I361" s="2" t="str" cm="1">
        <f t="array" ref="I361">_xlfn.IFS(OR(D361="",E361="",F361=""),"",MOD(D361,12)&lt;&gt;0,"",MOD(D361,12)=0,"Year End"&amp;" "&amp;D361/12)</f>
        <v/>
      </c>
      <c r="V361">
        <v>350</v>
      </c>
    </row>
    <row r="362" spans="4:22">
      <c r="D362" s="30">
        <f>IF(V362&lt;=calcs!$F$4,'Loan Calculator'!V362,"")</f>
        <v>351</v>
      </c>
      <c r="E362" s="27" cm="1">
        <f t="array" ref="E362">_xlfn.IFS(F362="","",G361&lt;F361,G361*calcs!$H$3,$D$8&lt;=0,$M$3-F362,$D$8&gt;0,$M$3-F362+$D$8,G361&lt;F361,G362*calcs!$H$3)</f>
        <v>93.981728174144109</v>
      </c>
      <c r="F362" s="27" cm="1">
        <f t="array" ref="F362">_xlfn.IFS(F361="","",G361=0,"",G361&lt;1,"",G361&lt;F361,G361,AND(G361&gt;0,$D$8&gt;0),$D$8+($M$3-(G361*calcs!$H$3)),G361&gt;0,$M$3-(G361*calcs!$H$3))</f>
        <v>1569.2745097738125</v>
      </c>
      <c r="G362" s="27" cm="1">
        <f t="array" ref="G362">_xlfn.IFS(F362="","",G361-F362&lt;1,0,ISBLANK(F362)=TRUE,"",G361-F362&gt;1,G361-F362)</f>
        <v>14541.878891508015</v>
      </c>
      <c r="H362" s="31">
        <f t="shared" si="6"/>
        <v>583802.93951973296</v>
      </c>
      <c r="I362" s="2" t="str" cm="1">
        <f t="array" ref="I362">_xlfn.IFS(OR(D362="",E362="",F362=""),"",MOD(D362,12)&lt;&gt;0,"",MOD(D362,12)=0,"Year End"&amp;" "&amp;D362/12)</f>
        <v/>
      </c>
      <c r="V362">
        <v>351</v>
      </c>
    </row>
    <row r="363" spans="4:22">
      <c r="D363" s="32">
        <f>IF(V363&lt;=calcs!$F$4,'Loan Calculator'!V363,"")</f>
        <v>352</v>
      </c>
      <c r="E363" s="29" cm="1">
        <f t="array" ref="E363">_xlfn.IFS(F363="","",G362&lt;F362,G362*calcs!$H$3,$D$8&lt;=0,$M$3-F363,$D$8&gt;0,$M$3-F363+$D$8,G362&lt;F362,G363*calcs!$H$3)</f>
        <v>84.827626867129993</v>
      </c>
      <c r="F363" s="29" cm="1">
        <f t="array" ref="F363">_xlfn.IFS(F362="","",G362=0,"",G362&lt;1,"",G362&lt;F362,G362,AND(G362&gt;0,$D$8&gt;0),$D$8+($M$3-(G362*calcs!$H$3)),G362&gt;0,$M$3-(G362*calcs!$H$3))</f>
        <v>1578.4286110808266</v>
      </c>
      <c r="G363" s="29" cm="1">
        <f t="array" ref="G363">_xlfn.IFS(F363="","",G362-F363&lt;1,0,ISBLANK(F363)=TRUE,"",G362-F363&gt;1,G362-F363)</f>
        <v>12963.450280427189</v>
      </c>
      <c r="H363" s="33">
        <f t="shared" si="6"/>
        <v>585466.19575768092</v>
      </c>
      <c r="I363" s="2" t="str" cm="1">
        <f t="array" ref="I363">_xlfn.IFS(OR(D363="",E363="",F363=""),"",MOD(D363,12)&lt;&gt;0,"",MOD(D363,12)=0,"Year End"&amp;" "&amp;D363/12)</f>
        <v/>
      </c>
      <c r="V363">
        <v>352</v>
      </c>
    </row>
    <row r="364" spans="4:22">
      <c r="D364" s="30">
        <f>IF(V364&lt;=calcs!$F$4,'Loan Calculator'!V364,"")</f>
        <v>353</v>
      </c>
      <c r="E364" s="27" cm="1">
        <f t="array" ref="E364">_xlfn.IFS(F364="","",G363&lt;F363,G363*calcs!$H$3,$D$8&lt;=0,$M$3-F364,$D$8&gt;0,$M$3-F364+$D$8,G363&lt;F363,G364*calcs!$H$3)</f>
        <v>75.620126635825272</v>
      </c>
      <c r="F364" s="27" cm="1">
        <f t="array" ref="F364">_xlfn.IFS(F363="","",G363=0,"",G363&lt;1,"",G363&lt;F363,G363,AND(G363&gt;0,$D$8&gt;0),$D$8+($M$3-(G363*calcs!$H$3)),G363&gt;0,$M$3-(G363*calcs!$H$3))</f>
        <v>1587.6361113121313</v>
      </c>
      <c r="G364" s="27" cm="1">
        <f t="array" ref="G364">_xlfn.IFS(F364="","",G363-F364&lt;1,0,ISBLANK(F364)=TRUE,"",G363-F364&gt;1,G363-F364)</f>
        <v>11375.814169115058</v>
      </c>
      <c r="H364" s="31">
        <f t="shared" si="6"/>
        <v>587129.45199562877</v>
      </c>
      <c r="I364" s="2" t="str" cm="1">
        <f t="array" ref="I364">_xlfn.IFS(OR(D364="",E364="",F364=""),"",MOD(D364,12)&lt;&gt;0,"",MOD(D364,12)=0,"Year End"&amp;" "&amp;D364/12)</f>
        <v/>
      </c>
      <c r="V364">
        <v>353</v>
      </c>
    </row>
    <row r="365" spans="4:22">
      <c r="D365" s="32">
        <f>IF(V365&lt;=calcs!$F$4,'Loan Calculator'!V365,"")</f>
        <v>354</v>
      </c>
      <c r="E365" s="29" cm="1">
        <f t="array" ref="E365">_xlfn.IFS(F365="","",G364&lt;F364,G364*calcs!$H$3,$D$8&lt;=0,$M$3-F365,$D$8&gt;0,$M$3-F365+$D$8,G364&lt;F364,G365*calcs!$H$3)</f>
        <v>66.358915986504599</v>
      </c>
      <c r="F365" s="29" cm="1">
        <f t="array" ref="F365">_xlfn.IFS(F364="","",G364=0,"",G364&lt;1,"",G364&lt;F364,G364,AND(G364&gt;0,$D$8&gt;0),$D$8+($M$3-(G364*calcs!$H$3)),G364&gt;0,$M$3-(G364*calcs!$H$3))</f>
        <v>1596.897321961452</v>
      </c>
      <c r="G365" s="29" cm="1">
        <f t="array" ref="G365">_xlfn.IFS(F365="","",G364-F365&lt;1,0,ISBLANK(F365)=TRUE,"",G364-F365&gt;1,G364-F365)</f>
        <v>9778.916847153605</v>
      </c>
      <c r="H365" s="33">
        <f t="shared" si="6"/>
        <v>588792.70823357673</v>
      </c>
      <c r="I365" s="2" t="str" cm="1">
        <f t="array" ref="I365">_xlfn.IFS(OR(D365="",E365="",F365=""),"",MOD(D365,12)&lt;&gt;0,"",MOD(D365,12)=0,"Year End"&amp;" "&amp;D365/12)</f>
        <v/>
      </c>
      <c r="V365">
        <v>354</v>
      </c>
    </row>
    <row r="366" spans="4:22">
      <c r="D366" s="30">
        <f>IF(V366&lt;=calcs!$F$4,'Loan Calculator'!V366,"")</f>
        <v>355</v>
      </c>
      <c r="E366" s="27" cm="1">
        <f t="array" ref="E366">_xlfn.IFS(F366="","",G365&lt;F365,G365*calcs!$H$3,$D$8&lt;=0,$M$3-F366,$D$8&gt;0,$M$3-F366+$D$8,G365&lt;F365,G366*calcs!$H$3)</f>
        <v>57.043681608396128</v>
      </c>
      <c r="F366" s="27" cm="1">
        <f t="array" ref="F366">_xlfn.IFS(F365="","",G365=0,"",G365&lt;1,"",G365&lt;F365,G365,AND(G365&gt;0,$D$8&gt;0),$D$8+($M$3-(G365*calcs!$H$3)),G365&gt;0,$M$3-(G365*calcs!$H$3))</f>
        <v>1606.2125563395605</v>
      </c>
      <c r="G366" s="27" cm="1">
        <f t="array" ref="G366">_xlfn.IFS(F366="","",G365-F366&lt;1,0,ISBLANK(F366)=TRUE,"",G365-F366&gt;1,G365-F366)</f>
        <v>8172.7042908140447</v>
      </c>
      <c r="H366" s="31">
        <f t="shared" si="6"/>
        <v>590455.9644715247</v>
      </c>
      <c r="I366" s="2" t="str" cm="1">
        <f t="array" ref="I366">_xlfn.IFS(OR(D366="",E366="",F366=""),"",MOD(D366,12)&lt;&gt;0,"",MOD(D366,12)=0,"Year End"&amp;" "&amp;D366/12)</f>
        <v/>
      </c>
      <c r="V366">
        <v>355</v>
      </c>
    </row>
    <row r="367" spans="4:22">
      <c r="D367" s="32">
        <f>IF(V367&lt;=calcs!$F$4,'Loan Calculator'!V367,"")</f>
        <v>356</v>
      </c>
      <c r="E367" s="29" cm="1">
        <f t="array" ref="E367">_xlfn.IFS(F367="","",G366&lt;F366,G366*calcs!$H$3,$D$8&lt;=0,$M$3-F367,$D$8&gt;0,$M$3-F367+$D$8,G366&lt;F366,G367*calcs!$H$3)</f>
        <v>47.674108363082041</v>
      </c>
      <c r="F367" s="29" cm="1">
        <f t="array" ref="F367">_xlfn.IFS(F366="","",G366=0,"",G366&lt;1,"",G366&lt;F366,G366,AND(G366&gt;0,$D$8&gt;0),$D$8+($M$3-(G366*calcs!$H$3)),G366&gt;0,$M$3-(G366*calcs!$H$3))</f>
        <v>1615.5821295848746</v>
      </c>
      <c r="G367" s="29" cm="1">
        <f t="array" ref="G367">_xlfn.IFS(F367="","",G366-F367&lt;1,0,ISBLANK(F367)=TRUE,"",G366-F367&gt;1,G366-F367)</f>
        <v>6557.1221612291702</v>
      </c>
      <c r="H367" s="33">
        <f t="shared" si="6"/>
        <v>592119.22070947266</v>
      </c>
      <c r="I367" s="2" t="str" cm="1">
        <f t="array" ref="I367">_xlfn.IFS(OR(D367="",E367="",F367=""),"",MOD(D367,12)&lt;&gt;0,"",MOD(D367,12)=0,"Year End"&amp;" "&amp;D367/12)</f>
        <v/>
      </c>
      <c r="V367">
        <v>356</v>
      </c>
    </row>
    <row r="368" spans="4:22">
      <c r="D368" s="30">
        <f>IF(V368&lt;=calcs!$F$4,'Loan Calculator'!V368,"")</f>
        <v>357</v>
      </c>
      <c r="E368" s="27" cm="1">
        <f t="array" ref="E368">_xlfn.IFS(F368="","",G367&lt;F367,G367*calcs!$H$3,$D$8&lt;=0,$M$3-F368,$D$8&gt;0,$M$3-F368+$D$8,G367&lt;F367,G368*calcs!$H$3)</f>
        <v>38.249879273836768</v>
      </c>
      <c r="F368" s="27" cm="1">
        <f t="array" ref="F368">_xlfn.IFS(F367="","",G367=0,"",G367&lt;1,"",G367&lt;F367,G367,AND(G367&gt;0,$D$8&gt;0),$D$8+($M$3-(G367*calcs!$H$3)),G367&gt;0,$M$3-(G367*calcs!$H$3))</f>
        <v>1625.0063586741198</v>
      </c>
      <c r="G368" s="27" cm="1">
        <f t="array" ref="G368">_xlfn.IFS(F368="","",G367-F368&lt;1,0,ISBLANK(F368)=TRUE,"",G367-F368&gt;1,G367-F368)</f>
        <v>4932.1158025550503</v>
      </c>
      <c r="H368" s="31">
        <f t="shared" si="6"/>
        <v>593782.47694742063</v>
      </c>
      <c r="I368" s="2" t="str" cm="1">
        <f t="array" ref="I368">_xlfn.IFS(OR(D368="",E368="",F368=""),"",MOD(D368,12)&lt;&gt;0,"",MOD(D368,12)=0,"Year End"&amp;" "&amp;D368/12)</f>
        <v/>
      </c>
      <c r="V368">
        <v>357</v>
      </c>
    </row>
    <row r="369" spans="4:22">
      <c r="D369" s="32">
        <f>IF(V369&lt;=calcs!$F$4,'Loan Calculator'!V369,"")</f>
        <v>358</v>
      </c>
      <c r="E369" s="29" cm="1">
        <f t="array" ref="E369">_xlfn.IFS(F369="","",G368&lt;F368,G368*calcs!$H$3,$D$8&lt;=0,$M$3-F369,$D$8&gt;0,$M$3-F369+$D$8,G368&lt;F368,G369*calcs!$H$3)</f>
        <v>28.770675514904497</v>
      </c>
      <c r="F369" s="29" cm="1">
        <f t="array" ref="F369">_xlfn.IFS(F368="","",G368=0,"",G368&lt;1,"",G368&lt;F368,G368,AND(G368&gt;0,$D$8&gt;0),$D$8+($M$3-(G368*calcs!$H$3)),G368&gt;0,$M$3-(G368*calcs!$H$3))</f>
        <v>1634.4855624330521</v>
      </c>
      <c r="G369" s="29" cm="1">
        <f t="array" ref="G369">_xlfn.IFS(F369="","",G368-F369&lt;1,0,ISBLANK(F369)=TRUE,"",G368-F369&gt;1,G368-F369)</f>
        <v>3297.6302401219982</v>
      </c>
      <c r="H369" s="33">
        <f t="shared" si="6"/>
        <v>595445.73318536859</v>
      </c>
      <c r="I369" s="2" t="str" cm="1">
        <f t="array" ref="I369">_xlfn.IFS(OR(D369="",E369="",F369=""),"",MOD(D369,12)&lt;&gt;0,"",MOD(D369,12)=0,"Year End"&amp;" "&amp;D369/12)</f>
        <v/>
      </c>
      <c r="V369">
        <v>358</v>
      </c>
    </row>
    <row r="370" spans="4:22">
      <c r="D370" s="30">
        <f>IF(V370&lt;=calcs!$F$4,'Loan Calculator'!V370,"")</f>
        <v>359</v>
      </c>
      <c r="E370" s="27" cm="1">
        <f t="array" ref="E370">_xlfn.IFS(F370="","",G369&lt;F369,G369*calcs!$H$3,$D$8&lt;=0,$M$3-F370,$D$8&gt;0,$M$3-F370+$D$8,G369&lt;F369,G370*calcs!$H$3)</f>
        <v>19.236176400711656</v>
      </c>
      <c r="F370" s="27" cm="1">
        <f t="array" ref="F370">_xlfn.IFS(F369="","",G369=0,"",G369&lt;1,"",G369&lt;F369,G369,AND(G369&gt;0,$D$8&gt;0),$D$8+($M$3-(G369*calcs!$H$3)),G369&gt;0,$M$3-(G369*calcs!$H$3))</f>
        <v>1644.0200615472449</v>
      </c>
      <c r="G370" s="27" cm="1">
        <f t="array" ref="G370">_xlfn.IFS(F370="","",G369-F370&lt;1,0,ISBLANK(F370)=TRUE,"",G369-F370&gt;1,G369-F370)</f>
        <v>1653.6101785747533</v>
      </c>
      <c r="H370" s="31">
        <f t="shared" si="6"/>
        <v>597108.98942331655</v>
      </c>
      <c r="I370" s="2" t="str" cm="1">
        <f t="array" ref="I370">_xlfn.IFS(OR(D370="",E370="",F370=""),"",MOD(D370,12)&lt;&gt;0,"",MOD(D370,12)=0,"Year End"&amp;" "&amp;D370/12)</f>
        <v/>
      </c>
      <c r="V370">
        <v>359</v>
      </c>
    </row>
    <row r="371" spans="4:22">
      <c r="D371" s="32">
        <f>IF(V371&lt;=calcs!$F$4,'Loan Calculator'!V371,"")</f>
        <v>360</v>
      </c>
      <c r="E371" s="29" cm="1">
        <f t="array" ref="E371">_xlfn.IFS(F371="","",G370&lt;F370,G370*calcs!$H$3,$D$8&lt;=0,$M$3-F371,$D$8&gt;0,$M$3-F371+$D$8,G370&lt;F370,G371*calcs!$H$3)</f>
        <v>9.6460593750193766</v>
      </c>
      <c r="F371" s="29" cm="1">
        <f t="array" ref="F371">_xlfn.IFS(F370="","",G370=0,"",G370&lt;1,"",G370&lt;F370,G370,AND(G370&gt;0,$D$8&gt;0),$D$8+($M$3-(G370*calcs!$H$3)),G370&gt;0,$M$3-(G370*calcs!$H$3))</f>
        <v>1653.6101785729372</v>
      </c>
      <c r="G371" s="29" cm="1">
        <f t="array" ref="G371">_xlfn.IFS(F371="","",G370-F371&lt;1,0,ISBLANK(F371)=TRUE,"",G370-F371&gt;1,G370-F371)</f>
        <v>0</v>
      </c>
      <c r="H371" s="33">
        <f t="shared" si="6"/>
        <v>598772.24566126452</v>
      </c>
      <c r="I371" s="2" t="str" cm="1">
        <f t="array" ref="I371">_xlfn.IFS(OR(D371="",E371="",F371=""),"",MOD(D371,12)&lt;&gt;0,"",MOD(D371,12)=0,"Year End"&amp;" "&amp;D371/12)</f>
        <v>Year End 30</v>
      </c>
      <c r="V371">
        <v>360</v>
      </c>
    </row>
    <row r="372" spans="4:22">
      <c r="D372" s="30" t="str">
        <f>IF(V372&lt;=calcs!$F$4,'Loan Calculator'!V372,"")</f>
        <v/>
      </c>
      <c r="E372" s="27" t="str" cm="1">
        <f t="array" ref="E372">_xlfn.IFS(F372="","",G371&lt;F371,G371*calcs!$H$3,$D$8&lt;=0,$M$3-F372,$D$8&gt;0,$M$3-F372+$D$8,G371&lt;F371,G372*calcs!$H$3)</f>
        <v/>
      </c>
      <c r="F372" s="27" t="str" cm="1">
        <f t="array" ref="F372">_xlfn.IFS(F371="","",G371=0,"",G371&lt;1,"",G371&lt;F371,G371,AND(G371&gt;0,$D$8&gt;0),$D$8+($M$3-(G371*calcs!$H$3)),G371&gt;0,$M$3-(G371*calcs!$H$3))</f>
        <v/>
      </c>
      <c r="G372" s="27" t="str" cm="1">
        <f t="array" ref="G372">_xlfn.IFS(F372="","",G371-F372&lt;1,0,ISBLANK(F372)=TRUE,"",G371-F372&gt;1,G371-F372)</f>
        <v/>
      </c>
      <c r="H372" s="31" t="str">
        <f t="shared" si="6"/>
        <v/>
      </c>
      <c r="I372" s="2" t="str" cm="1">
        <f t="array" ref="I372">_xlfn.IFS(OR(D372="",E372="",F372=""),"",MOD(D372,12)&lt;&gt;0,"",MOD(D372,12)=0,"Year End"&amp;" "&amp;D372/12)</f>
        <v/>
      </c>
      <c r="V372">
        <v>361</v>
      </c>
    </row>
    <row r="373" spans="4:22">
      <c r="D373" s="32" t="str">
        <f>IF(V373&lt;=calcs!$F$4,'Loan Calculator'!V373,"")</f>
        <v/>
      </c>
      <c r="E373" s="29" t="str" cm="1">
        <f t="array" ref="E373">_xlfn.IFS(F373="","",G372&lt;F372,G372*calcs!$H$3,$D$8&lt;=0,$M$3-F373,$D$8&gt;0,$M$3-F373+$D$8,G372&lt;F372,G373*calcs!$H$3)</f>
        <v/>
      </c>
      <c r="F373" s="29" t="str" cm="1">
        <f t="array" ref="F373">_xlfn.IFS(F372="","",G372=0,"",G372&lt;1,"",G372&lt;F372,G372,AND(G372&gt;0,$D$8&gt;0),$D$8+($M$3-(G372*calcs!$H$3)),G372&gt;0,$M$3-(G372*calcs!$H$3))</f>
        <v/>
      </c>
      <c r="G373" s="29" t="str" cm="1">
        <f t="array" ref="G373">_xlfn.IFS(F373="","",G372-F373&lt;1,0,ISBLANK(F373)=TRUE,"",G372-F373&gt;1,G372-F373)</f>
        <v/>
      </c>
      <c r="H373" s="33" t="str">
        <f t="shared" si="6"/>
        <v/>
      </c>
      <c r="I373" s="2" t="str" cm="1">
        <f t="array" ref="I373">_xlfn.IFS(OR(D373="",E373="",F373=""),"",MOD(D373,12)&lt;&gt;0,"",MOD(D373,12)=0,"Year End"&amp;" "&amp;D373/12)</f>
        <v/>
      </c>
      <c r="V373">
        <v>362</v>
      </c>
    </row>
    <row r="374" spans="4:22">
      <c r="D374" s="30" t="str">
        <f>IF(V374&lt;=calcs!$F$4,'Loan Calculator'!V374,"")</f>
        <v/>
      </c>
      <c r="E374" s="27" t="str" cm="1">
        <f t="array" ref="E374">_xlfn.IFS(F374="","",G373&lt;F373,G373*calcs!$H$3,$D$8&lt;=0,$M$3-F374,$D$8&gt;0,$M$3-F374+$D$8,G373&lt;F373,G374*calcs!$H$3)</f>
        <v/>
      </c>
      <c r="F374" s="27" t="str" cm="1">
        <f t="array" ref="F374">_xlfn.IFS(F373="","",G373=0,"",G373&lt;1,"",G373&lt;F373,G373,AND(G373&gt;0,$D$8&gt;0),$D$8+($M$3-(G373*calcs!$H$3)),G373&gt;0,$M$3-(G373*calcs!$H$3))</f>
        <v/>
      </c>
      <c r="G374" s="27" t="str" cm="1">
        <f t="array" ref="G374">_xlfn.IFS(F374="","",G373-F374&lt;1,0,ISBLANK(F374)=TRUE,"",G373-F374&gt;1,G373-F374)</f>
        <v/>
      </c>
      <c r="H374" s="31" t="str">
        <f t="shared" si="6"/>
        <v/>
      </c>
      <c r="I374" s="2" t="str" cm="1">
        <f t="array" ref="I374">_xlfn.IFS(OR(D374="",E374="",F374=""),"",MOD(D374,12)&lt;&gt;0,"",MOD(D374,12)=0,"Year End"&amp;" "&amp;D374/12)</f>
        <v/>
      </c>
      <c r="V374">
        <v>363</v>
      </c>
    </row>
    <row r="375" spans="4:22">
      <c r="D375" s="32" t="str">
        <f>IF(V375&lt;=calcs!$F$4,'Loan Calculator'!V375,"")</f>
        <v/>
      </c>
      <c r="E375" s="29" t="str" cm="1">
        <f t="array" ref="E375">_xlfn.IFS(F375="","",G374&lt;F374,G374*calcs!$H$3,$D$8&lt;=0,$M$3-F375,$D$8&gt;0,$M$3-F375+$D$8,G374&lt;F374,G375*calcs!$H$3)</f>
        <v/>
      </c>
      <c r="F375" s="29" t="str" cm="1">
        <f t="array" ref="F375">_xlfn.IFS(F374="","",G374=0,"",G374&lt;1,"",G374&lt;F374,G374,AND(G374&gt;0,$D$8&gt;0),$D$8+($M$3-(G374*calcs!$H$3)),G374&gt;0,$M$3-(G374*calcs!$H$3))</f>
        <v/>
      </c>
      <c r="G375" s="29" t="str" cm="1">
        <f t="array" ref="G375">_xlfn.IFS(F375="","",G374-F375&lt;1,0,ISBLANK(F375)=TRUE,"",G374-F375&gt;1,G374-F375)</f>
        <v/>
      </c>
      <c r="H375" s="33" t="str">
        <f t="shared" si="6"/>
        <v/>
      </c>
      <c r="I375" s="2" t="str" cm="1">
        <f t="array" ref="I375">_xlfn.IFS(OR(D375="",E375="",F375=""),"",MOD(D375,12)&lt;&gt;0,"",MOD(D375,12)=0,"Year End"&amp;" "&amp;D375/12)</f>
        <v/>
      </c>
      <c r="V375">
        <v>364</v>
      </c>
    </row>
    <row r="376" spans="4:22">
      <c r="D376" s="30" t="str">
        <f>IF(V376&lt;=calcs!$F$4,'Loan Calculator'!V376,"")</f>
        <v/>
      </c>
      <c r="E376" s="27" t="str" cm="1">
        <f t="array" ref="E376">_xlfn.IFS(F376="","",G375&lt;F375,G375*calcs!$H$3,$D$8&lt;=0,$M$3-F376,$D$8&gt;0,$M$3-F376+$D$8,G375&lt;F375,G376*calcs!$H$3)</f>
        <v/>
      </c>
      <c r="F376" s="27" t="str" cm="1">
        <f t="array" ref="F376">_xlfn.IFS(F375="","",G375=0,"",G375&lt;1,"",G375&lt;F375,G375,AND(G375&gt;0,$D$8&gt;0),$D$8+($M$3-(G375*calcs!$H$3)),G375&gt;0,$M$3-(G375*calcs!$H$3))</f>
        <v/>
      </c>
      <c r="G376" s="27" t="str" cm="1">
        <f t="array" ref="G376">_xlfn.IFS(F376="","",G375-F376&lt;1,0,ISBLANK(F376)=TRUE,"",G375-F376&gt;1,G375-F376)</f>
        <v/>
      </c>
      <c r="H376" s="31" t="str">
        <f t="shared" si="6"/>
        <v/>
      </c>
      <c r="I376" s="2" t="str" cm="1">
        <f t="array" ref="I376">_xlfn.IFS(OR(D376="",E376="",F376=""),"",MOD(D376,12)&lt;&gt;0,"",MOD(D376,12)=0,"Year End"&amp;" "&amp;D376/12)</f>
        <v/>
      </c>
      <c r="V376">
        <v>365</v>
      </c>
    </row>
    <row r="377" spans="4:22">
      <c r="D377" s="32" t="str">
        <f>IF(V377&lt;=calcs!$F$4,'Loan Calculator'!V377,"")</f>
        <v/>
      </c>
      <c r="E377" s="29" t="str" cm="1">
        <f t="array" ref="E377">_xlfn.IFS(F377="","",G376&lt;F376,G376*calcs!$H$3,$D$8&lt;=0,$M$3-F377,$D$8&gt;0,$M$3-F377+$D$8,G376&lt;F376,G377*calcs!$H$3)</f>
        <v/>
      </c>
      <c r="F377" s="29" t="str" cm="1">
        <f t="array" ref="F377">_xlfn.IFS(F376="","",G376=0,"",G376&lt;1,"",G376&lt;F376,G376,AND(G376&gt;0,$D$8&gt;0),$D$8+($M$3-(G376*calcs!$H$3)),G376&gt;0,$M$3-(G376*calcs!$H$3))</f>
        <v/>
      </c>
      <c r="G377" s="29" t="str" cm="1">
        <f t="array" ref="G377">_xlfn.IFS(F377="","",G376-F377&lt;1,0,ISBLANK(F377)=TRUE,"",G376-F377&gt;1,G376-F377)</f>
        <v/>
      </c>
      <c r="H377" s="33" t="str">
        <f t="shared" si="6"/>
        <v/>
      </c>
      <c r="I377" s="2" t="str" cm="1">
        <f t="array" ref="I377">_xlfn.IFS(OR(D377="",E377="",F377=""),"",MOD(D377,12)&lt;&gt;0,"",MOD(D377,12)=0,"Year End"&amp;" "&amp;D377/12)</f>
        <v/>
      </c>
      <c r="V377">
        <v>366</v>
      </c>
    </row>
    <row r="378" spans="4:22">
      <c r="D378" s="30" t="str">
        <f>IF(V378&lt;=calcs!$F$4,'Loan Calculator'!V378,"")</f>
        <v/>
      </c>
      <c r="E378" s="27" t="str" cm="1">
        <f t="array" ref="E378">_xlfn.IFS(F378="","",G377&lt;F377,G377*calcs!$H$3,$D$8&lt;=0,$M$3-F378,$D$8&gt;0,$M$3-F378+$D$8,G377&lt;F377,G378*calcs!$H$3)</f>
        <v/>
      </c>
      <c r="F378" s="27" t="str" cm="1">
        <f t="array" ref="F378">_xlfn.IFS(F377="","",G377=0,"",G377&lt;1,"",G377&lt;F377,G377,AND(G377&gt;0,$D$8&gt;0),$D$8+($M$3-(G377*calcs!$H$3)),G377&gt;0,$M$3-(G377*calcs!$H$3))</f>
        <v/>
      </c>
      <c r="G378" s="27" t="str" cm="1">
        <f t="array" ref="G378">_xlfn.IFS(F378="","",G377-F378&lt;1,0,ISBLANK(F378)=TRUE,"",G377-F378&gt;1,G377-F378)</f>
        <v/>
      </c>
      <c r="H378" s="31" t="str">
        <f t="shared" si="6"/>
        <v/>
      </c>
      <c r="I378" s="2" t="str" cm="1">
        <f t="array" ref="I378">_xlfn.IFS(OR(D378="",E378="",F378=""),"",MOD(D378,12)&lt;&gt;0,"",MOD(D378,12)=0,"Year End"&amp;" "&amp;D378/12)</f>
        <v/>
      </c>
      <c r="V378">
        <v>367</v>
      </c>
    </row>
    <row r="379" spans="4:22">
      <c r="D379" s="32" t="str">
        <f>IF(V379&lt;=calcs!$F$4,'Loan Calculator'!V379,"")</f>
        <v/>
      </c>
      <c r="E379" s="29" t="str" cm="1">
        <f t="array" ref="E379">_xlfn.IFS(F379="","",G378&lt;F378,G378*calcs!$H$3,$D$8&lt;=0,$M$3-F379,$D$8&gt;0,$M$3-F379+$D$8,G378&lt;F378,G379*calcs!$H$3)</f>
        <v/>
      </c>
      <c r="F379" s="29" t="str" cm="1">
        <f t="array" ref="F379">_xlfn.IFS(F378="","",G378=0,"",G378&lt;1,"",G378&lt;F378,G378,AND(G378&gt;0,$D$8&gt;0),$D$8+($M$3-(G378*calcs!$H$3)),G378&gt;0,$M$3-(G378*calcs!$H$3))</f>
        <v/>
      </c>
      <c r="G379" s="29" t="str" cm="1">
        <f t="array" ref="G379">_xlfn.IFS(F379="","",G378-F379&lt;1,0,ISBLANK(F379)=TRUE,"",G378-F379&gt;1,G378-F379)</f>
        <v/>
      </c>
      <c r="H379" s="33" t="str">
        <f t="shared" si="6"/>
        <v/>
      </c>
      <c r="I379" s="2" t="str" cm="1">
        <f t="array" ref="I379">_xlfn.IFS(OR(D379="",E379="",F379=""),"",MOD(D379,12)&lt;&gt;0,"",MOD(D379,12)=0,"Year End"&amp;" "&amp;D379/12)</f>
        <v/>
      </c>
      <c r="V379">
        <v>368</v>
      </c>
    </row>
    <row r="380" spans="4:22">
      <c r="D380" s="30" t="str">
        <f>IF(V380&lt;=calcs!$F$4,'Loan Calculator'!V380,"")</f>
        <v/>
      </c>
      <c r="E380" s="27" t="str" cm="1">
        <f t="array" ref="E380">_xlfn.IFS(F380="","",G379&lt;F379,G379*calcs!$H$3,$D$8&lt;=0,$M$3-F380,$D$8&gt;0,$M$3-F380+$D$8,G379&lt;F379,G380*calcs!$H$3)</f>
        <v/>
      </c>
      <c r="F380" s="27" t="str" cm="1">
        <f t="array" ref="F380">_xlfn.IFS(F379="","",G379=0,"",G379&lt;1,"",G379&lt;F379,G379,AND(G379&gt;0,$D$8&gt;0),$D$8+($M$3-(G379*calcs!$H$3)),G379&gt;0,$M$3-(G379*calcs!$H$3))</f>
        <v/>
      </c>
      <c r="G380" s="27" t="str" cm="1">
        <f t="array" ref="G380">_xlfn.IFS(F380="","",G379-F380&lt;1,0,ISBLANK(F380)=TRUE,"",G379-F380&gt;1,G379-F380)</f>
        <v/>
      </c>
      <c r="H380" s="31" t="str">
        <f t="shared" si="6"/>
        <v/>
      </c>
      <c r="I380" s="2" t="str" cm="1">
        <f t="array" ref="I380">_xlfn.IFS(OR(D380="",E380="",F380=""),"",MOD(D380,12)&lt;&gt;0,"",MOD(D380,12)=0,"Year End"&amp;" "&amp;D380/12)</f>
        <v/>
      </c>
      <c r="V380">
        <v>369</v>
      </c>
    </row>
    <row r="381" spans="4:22">
      <c r="D381" s="32" t="str">
        <f>IF(V381&lt;=calcs!$F$4,'Loan Calculator'!V381,"")</f>
        <v/>
      </c>
      <c r="E381" s="29" t="str" cm="1">
        <f t="array" ref="E381">_xlfn.IFS(F381="","",G380&lt;F380,G380*calcs!$H$3,$D$8&lt;=0,$M$3-F381,$D$8&gt;0,$M$3-F381+$D$8,G380&lt;F380,G381*calcs!$H$3)</f>
        <v/>
      </c>
      <c r="F381" s="29" t="str" cm="1">
        <f t="array" ref="F381">_xlfn.IFS(F380="","",G380=0,"",G380&lt;1,"",G380&lt;F380,G380,AND(G380&gt;0,$D$8&gt;0),$D$8+($M$3-(G380*calcs!$H$3)),G380&gt;0,$M$3-(G380*calcs!$H$3))</f>
        <v/>
      </c>
      <c r="G381" s="29" t="str" cm="1">
        <f t="array" ref="G381">_xlfn.IFS(F381="","",G380-F381&lt;1,0,ISBLANK(F381)=TRUE,"",G380-F381&gt;1,G380-F381)</f>
        <v/>
      </c>
      <c r="H381" s="33" t="str">
        <f t="shared" si="6"/>
        <v/>
      </c>
      <c r="I381" s="2" t="str" cm="1">
        <f t="array" ref="I381">_xlfn.IFS(OR(D381="",E381="",F381=""),"",MOD(D381,12)&lt;&gt;0,"",MOD(D381,12)=0,"Year End"&amp;" "&amp;D381/12)</f>
        <v/>
      </c>
      <c r="V381">
        <v>370</v>
      </c>
    </row>
    <row r="382" spans="4:22">
      <c r="D382" s="30" t="str">
        <f>IF(V382&lt;=calcs!$F$4,'Loan Calculator'!V382,"")</f>
        <v/>
      </c>
      <c r="E382" s="27" t="str" cm="1">
        <f t="array" ref="E382">_xlfn.IFS(F382="","",G381&lt;F381,G381*calcs!$H$3,$D$8&lt;=0,$M$3-F382,$D$8&gt;0,$M$3-F382+$D$8,G381&lt;F381,G382*calcs!$H$3)</f>
        <v/>
      </c>
      <c r="F382" s="27" t="str" cm="1">
        <f t="array" ref="F382">_xlfn.IFS(F381="","",G381=0,"",G381&lt;1,"",G381&lt;F381,G381,AND(G381&gt;0,$D$8&gt;0),$D$8+($M$3-(G381*calcs!$H$3)),G381&gt;0,$M$3-(G381*calcs!$H$3))</f>
        <v/>
      </c>
      <c r="G382" s="27" t="str" cm="1">
        <f t="array" ref="G382">_xlfn.IFS(F382="","",G381-F382&lt;1,0,ISBLANK(F382)=TRUE,"",G381-F382&gt;1,G381-F382)</f>
        <v/>
      </c>
      <c r="H382" s="31" t="str">
        <f t="shared" si="6"/>
        <v/>
      </c>
      <c r="I382" s="2" t="str" cm="1">
        <f t="array" ref="I382">_xlfn.IFS(OR(D382="",E382="",F382=""),"",MOD(D382,12)&lt;&gt;0,"",MOD(D382,12)=0,"Year End"&amp;" "&amp;D382/12)</f>
        <v/>
      </c>
      <c r="V382">
        <v>371</v>
      </c>
    </row>
    <row r="383" spans="4:22">
      <c r="D383" s="32" t="str">
        <f>IF(V383&lt;=calcs!$F$4,'Loan Calculator'!V383,"")</f>
        <v/>
      </c>
      <c r="E383" s="29" t="str" cm="1">
        <f t="array" ref="E383">_xlfn.IFS(F383="","",G382&lt;F382,G382*calcs!$H$3,$D$8&lt;=0,$M$3-F383,$D$8&gt;0,$M$3-F383+$D$8,G382&lt;F382,G383*calcs!$H$3)</f>
        <v/>
      </c>
      <c r="F383" s="29" t="str" cm="1">
        <f t="array" ref="F383">_xlfn.IFS(F382="","",G382=0,"",G382&lt;1,"",G382&lt;F382,G382,AND(G382&gt;0,$D$8&gt;0),$D$8+($M$3-(G382*calcs!$H$3)),G382&gt;0,$M$3-(G382*calcs!$H$3))</f>
        <v/>
      </c>
      <c r="G383" s="29" t="str" cm="1">
        <f t="array" ref="G383">_xlfn.IFS(F383="","",G382-F383&lt;1,0,ISBLANK(F383)=TRUE,"",G382-F383&gt;1,G382-F383)</f>
        <v/>
      </c>
      <c r="H383" s="33" t="str">
        <f t="shared" si="6"/>
        <v/>
      </c>
      <c r="I383" s="2" t="str" cm="1">
        <f t="array" ref="I383">_xlfn.IFS(OR(D383="",E383="",F383=""),"",MOD(D383,12)&lt;&gt;0,"",MOD(D383,12)=0,"Year End"&amp;" "&amp;D383/12)</f>
        <v/>
      </c>
      <c r="V383">
        <v>372</v>
      </c>
    </row>
    <row r="384" spans="4:22">
      <c r="D384" s="30" t="str">
        <f>IF(V384&lt;=calcs!$F$4,'Loan Calculator'!V384,"")</f>
        <v/>
      </c>
      <c r="E384" s="27" t="str" cm="1">
        <f t="array" ref="E384">_xlfn.IFS(F384="","",G383&lt;F383,G383*calcs!$H$3,$D$8&lt;=0,$M$3-F384,$D$8&gt;0,$M$3-F384+$D$8,G383&lt;F383,G384*calcs!$H$3)</f>
        <v/>
      </c>
      <c r="F384" s="27" t="str" cm="1">
        <f t="array" ref="F384">_xlfn.IFS(F383="","",G383=0,"",G383&lt;1,"",G383&lt;F383,G383,AND(G383&gt;0,$D$8&gt;0),$D$8+($M$3-(G383*calcs!$H$3)),G383&gt;0,$M$3-(G383*calcs!$H$3))</f>
        <v/>
      </c>
      <c r="G384" s="27" t="str" cm="1">
        <f t="array" ref="G384">_xlfn.IFS(F384="","",G383-F384&lt;1,0,ISBLANK(F384)=TRUE,"",G383-F384&gt;1,G383-F384)</f>
        <v/>
      </c>
      <c r="H384" s="31" t="str">
        <f t="shared" si="6"/>
        <v/>
      </c>
      <c r="I384" s="2" t="str" cm="1">
        <f t="array" ref="I384">_xlfn.IFS(OR(D384="",E384="",F384=""),"",MOD(D384,12)&lt;&gt;0,"",MOD(D384,12)=0,"Year End"&amp;" "&amp;D384/12)</f>
        <v/>
      </c>
      <c r="V384">
        <v>373</v>
      </c>
    </row>
    <row r="385" spans="4:22">
      <c r="D385" s="32" t="str">
        <f>IF(V385&lt;=calcs!$F$4,'Loan Calculator'!V385,"")</f>
        <v/>
      </c>
      <c r="E385" s="29" t="str" cm="1">
        <f t="array" ref="E385">_xlfn.IFS(F385="","",G384&lt;F384,G384*calcs!$H$3,$D$8&lt;=0,$M$3-F385,$D$8&gt;0,$M$3-F385+$D$8,G384&lt;F384,G385*calcs!$H$3)</f>
        <v/>
      </c>
      <c r="F385" s="29" t="str" cm="1">
        <f t="array" ref="F385">_xlfn.IFS(F384="","",G384=0,"",G384&lt;1,"",G384&lt;F384,G384,AND(G384&gt;0,$D$8&gt;0),$D$8+($M$3-(G384*calcs!$H$3)),G384&gt;0,$M$3-(G384*calcs!$H$3))</f>
        <v/>
      </c>
      <c r="G385" s="29" t="str" cm="1">
        <f t="array" ref="G385">_xlfn.IFS(F385="","",G384-F385&lt;1,0,ISBLANK(F385)=TRUE,"",G384-F385&gt;1,G384-F385)</f>
        <v/>
      </c>
      <c r="H385" s="33" t="str">
        <f t="shared" si="6"/>
        <v/>
      </c>
      <c r="I385" s="2" t="str" cm="1">
        <f t="array" ref="I385">_xlfn.IFS(OR(D385="",E385="",F385=""),"",MOD(D385,12)&lt;&gt;0,"",MOD(D385,12)=0,"Year End"&amp;" "&amp;D385/12)</f>
        <v/>
      </c>
      <c r="V385">
        <v>374</v>
      </c>
    </row>
    <row r="386" spans="4:22">
      <c r="D386" s="30" t="str">
        <f>IF(V386&lt;=calcs!$F$4,'Loan Calculator'!V386,"")</f>
        <v/>
      </c>
      <c r="E386" s="27" t="str" cm="1">
        <f t="array" ref="E386">_xlfn.IFS(F386="","",G385&lt;F385,G385*calcs!$H$3,$D$8&lt;=0,$M$3-F386,$D$8&gt;0,$M$3-F386+$D$8,G385&lt;F385,G386*calcs!$H$3)</f>
        <v/>
      </c>
      <c r="F386" s="27" t="str" cm="1">
        <f t="array" ref="F386">_xlfn.IFS(F385="","",G385=0,"",G385&lt;1,"",G385&lt;F385,G385,AND(G385&gt;0,$D$8&gt;0),$D$8+($M$3-(G385*calcs!$H$3)),G385&gt;0,$M$3-(G385*calcs!$H$3))</f>
        <v/>
      </c>
      <c r="G386" s="27" t="str" cm="1">
        <f t="array" ref="G386">_xlfn.IFS(F386="","",G385-F386&lt;1,0,ISBLANK(F386)=TRUE,"",G385-F386&gt;1,G385-F386)</f>
        <v/>
      </c>
      <c r="H386" s="31" t="str">
        <f t="shared" si="6"/>
        <v/>
      </c>
      <c r="I386" s="2" t="str" cm="1">
        <f t="array" ref="I386">_xlfn.IFS(OR(D386="",E386="",F386=""),"",MOD(D386,12)&lt;&gt;0,"",MOD(D386,12)=0,"Year End"&amp;" "&amp;D386/12)</f>
        <v/>
      </c>
      <c r="V386">
        <v>375</v>
      </c>
    </row>
    <row r="387" spans="4:22">
      <c r="D387" s="32" t="str">
        <f>IF(V387&lt;=calcs!$F$4,'Loan Calculator'!V387,"")</f>
        <v/>
      </c>
      <c r="E387" s="29" t="str" cm="1">
        <f t="array" ref="E387">_xlfn.IFS(F387="","",G386&lt;F386,G386*calcs!$H$3,$D$8&lt;=0,$M$3-F387,$D$8&gt;0,$M$3-F387+$D$8,G386&lt;F386,G387*calcs!$H$3)</f>
        <v/>
      </c>
      <c r="F387" s="29" t="str" cm="1">
        <f t="array" ref="F387">_xlfn.IFS(F386="","",G386=0,"",G386&lt;1,"",G386&lt;F386,G386,AND(G386&gt;0,$D$8&gt;0),$D$8+($M$3-(G386*calcs!$H$3)),G386&gt;0,$M$3-(G386*calcs!$H$3))</f>
        <v/>
      </c>
      <c r="G387" s="29" t="str" cm="1">
        <f t="array" ref="G387">_xlfn.IFS(F387="","",G386-F387&lt;1,0,ISBLANK(F387)=TRUE,"",G386-F387&gt;1,G386-F387)</f>
        <v/>
      </c>
      <c r="H387" s="33" t="str">
        <f t="shared" si="6"/>
        <v/>
      </c>
      <c r="I387" s="2" t="str" cm="1">
        <f t="array" ref="I387">_xlfn.IFS(OR(D387="",E387="",F387=""),"",MOD(D387,12)&lt;&gt;0,"",MOD(D387,12)=0,"Year End"&amp;" "&amp;D387/12)</f>
        <v/>
      </c>
      <c r="V387">
        <v>376</v>
      </c>
    </row>
    <row r="388" spans="4:22">
      <c r="D388" s="30" t="str">
        <f>IF(V388&lt;=calcs!$F$4,'Loan Calculator'!V388,"")</f>
        <v/>
      </c>
      <c r="E388" s="27" t="str" cm="1">
        <f t="array" ref="E388">_xlfn.IFS(F388="","",G387&lt;F387,G387*calcs!$H$3,$D$8&lt;=0,$M$3-F388,$D$8&gt;0,$M$3-F388+$D$8,G387&lt;F387,G388*calcs!$H$3)</f>
        <v/>
      </c>
      <c r="F388" s="27" t="str" cm="1">
        <f t="array" ref="F388">_xlfn.IFS(F387="","",G387=0,"",G387&lt;1,"",G387&lt;F387,G387,AND(G387&gt;0,$D$8&gt;0),$D$8+($M$3-(G387*calcs!$H$3)),G387&gt;0,$M$3-(G387*calcs!$H$3))</f>
        <v/>
      </c>
      <c r="G388" s="27" t="str" cm="1">
        <f t="array" ref="G388">_xlfn.IFS(F388="","",G387-F388&lt;1,0,ISBLANK(F388)=TRUE,"",G387-F388&gt;1,G387-F388)</f>
        <v/>
      </c>
      <c r="H388" s="31" t="str">
        <f t="shared" si="6"/>
        <v/>
      </c>
      <c r="I388" s="2" t="str" cm="1">
        <f t="array" ref="I388">_xlfn.IFS(OR(D388="",E388="",F388=""),"",MOD(D388,12)&lt;&gt;0,"",MOD(D388,12)=0,"Year End"&amp;" "&amp;D388/12)</f>
        <v/>
      </c>
      <c r="V388">
        <v>377</v>
      </c>
    </row>
    <row r="389" spans="4:22">
      <c r="D389" s="32" t="str">
        <f>IF(V389&lt;=calcs!$F$4,'Loan Calculator'!V389,"")</f>
        <v/>
      </c>
      <c r="E389" s="29" t="str" cm="1">
        <f t="array" ref="E389">_xlfn.IFS(F389="","",G388&lt;F388,G388*calcs!$H$3,$D$8&lt;=0,$M$3-F389,$D$8&gt;0,$M$3-F389+$D$8,G388&lt;F388,G389*calcs!$H$3)</f>
        <v/>
      </c>
      <c r="F389" s="29" t="str" cm="1">
        <f t="array" ref="F389">_xlfn.IFS(F388="","",G388=0,"",G388&lt;1,"",G388&lt;F388,G388,AND(G388&gt;0,$D$8&gt;0),$D$8+($M$3-(G388*calcs!$H$3)),G388&gt;0,$M$3-(G388*calcs!$H$3))</f>
        <v/>
      </c>
      <c r="G389" s="29" t="str" cm="1">
        <f t="array" ref="G389">_xlfn.IFS(F389="","",G388-F389&lt;1,0,ISBLANK(F389)=TRUE,"",G388-F389&gt;1,G388-F389)</f>
        <v/>
      </c>
      <c r="H389" s="33" t="str">
        <f t="shared" si="6"/>
        <v/>
      </c>
      <c r="I389" s="2" t="str" cm="1">
        <f t="array" ref="I389">_xlfn.IFS(OR(D389="",E389="",F389=""),"",MOD(D389,12)&lt;&gt;0,"",MOD(D389,12)=0,"Year End"&amp;" "&amp;D389/12)</f>
        <v/>
      </c>
      <c r="V389">
        <v>378</v>
      </c>
    </row>
    <row r="390" spans="4:22">
      <c r="D390" s="30" t="str">
        <f>IF(V390&lt;=calcs!$F$4,'Loan Calculator'!V390,"")</f>
        <v/>
      </c>
      <c r="E390" s="27" t="str" cm="1">
        <f t="array" ref="E390">_xlfn.IFS(F390="","",G389&lt;F389,G389*calcs!$H$3,$D$8&lt;=0,$M$3-F390,$D$8&gt;0,$M$3-F390+$D$8,G389&lt;F389,G390*calcs!$H$3)</f>
        <v/>
      </c>
      <c r="F390" s="27" t="str" cm="1">
        <f t="array" ref="F390">_xlfn.IFS(F389="","",G389=0,"",G389&lt;1,"",G389&lt;F389,G389,AND(G389&gt;0,$D$8&gt;0),$D$8+($M$3-(G389*calcs!$H$3)),G389&gt;0,$M$3-(G389*calcs!$H$3))</f>
        <v/>
      </c>
      <c r="G390" s="27" t="str" cm="1">
        <f t="array" ref="G390">_xlfn.IFS(F390="","",G389-F390&lt;1,0,ISBLANK(F390)=TRUE,"",G389-F390&gt;1,G389-F390)</f>
        <v/>
      </c>
      <c r="H390" s="31" t="str">
        <f t="shared" si="6"/>
        <v/>
      </c>
      <c r="I390" s="2" t="str" cm="1">
        <f t="array" ref="I390">_xlfn.IFS(OR(D390="",E390="",F390=""),"",MOD(D390,12)&lt;&gt;0,"",MOD(D390,12)=0,"Year End"&amp;" "&amp;D390/12)</f>
        <v/>
      </c>
      <c r="V390">
        <v>379</v>
      </c>
    </row>
    <row r="391" spans="4:22">
      <c r="D391" s="32" t="str">
        <f>IF(V391&lt;=calcs!$F$4,'Loan Calculator'!V391,"")</f>
        <v/>
      </c>
      <c r="E391" s="29" t="str" cm="1">
        <f t="array" ref="E391">_xlfn.IFS(F391="","",G390&lt;F390,G390*calcs!$H$3,$D$8&lt;=0,$M$3-F391,$D$8&gt;0,$M$3-F391+$D$8,G390&lt;F390,G391*calcs!$H$3)</f>
        <v/>
      </c>
      <c r="F391" s="29" t="str" cm="1">
        <f t="array" ref="F391">_xlfn.IFS(F390="","",G390=0,"",G390&lt;1,"",G390&lt;F390,G390,AND(G390&gt;0,$D$8&gt;0),$D$8+($M$3-(G390*calcs!$H$3)),G390&gt;0,$M$3-(G390*calcs!$H$3))</f>
        <v/>
      </c>
      <c r="G391" s="29" t="str" cm="1">
        <f t="array" ref="G391">_xlfn.IFS(F391="","",G390-F391&lt;1,0,ISBLANK(F391)=TRUE,"",G390-F391&gt;1,G390-F391)</f>
        <v/>
      </c>
      <c r="H391" s="33" t="str">
        <f t="shared" si="6"/>
        <v/>
      </c>
      <c r="I391" s="2" t="str" cm="1">
        <f t="array" ref="I391">_xlfn.IFS(OR(D391="",E391="",F391=""),"",MOD(D391,12)&lt;&gt;0,"",MOD(D391,12)=0,"Year End"&amp;" "&amp;D391/12)</f>
        <v/>
      </c>
      <c r="V391">
        <v>380</v>
      </c>
    </row>
    <row r="392" spans="4:22">
      <c r="D392" s="30" t="str">
        <f>IF(V392&lt;=calcs!$F$4,'Loan Calculator'!V392,"")</f>
        <v/>
      </c>
      <c r="E392" s="27" t="str" cm="1">
        <f t="array" ref="E392">_xlfn.IFS(F392="","",G391&lt;F391,G391*calcs!$H$3,$D$8&lt;=0,$M$3-F392,$D$8&gt;0,$M$3-F392+$D$8,G391&lt;F391,G392*calcs!$H$3)</f>
        <v/>
      </c>
      <c r="F392" s="27" t="str" cm="1">
        <f t="array" ref="F392">_xlfn.IFS(F391="","",G391=0,"",G391&lt;1,"",G391&lt;F391,G391,AND(G391&gt;0,$D$8&gt;0),$D$8+($M$3-(G391*calcs!$H$3)),G391&gt;0,$M$3-(G391*calcs!$H$3))</f>
        <v/>
      </c>
      <c r="G392" s="27" t="str" cm="1">
        <f t="array" ref="G392">_xlfn.IFS(F392="","",G391-F392&lt;1,0,ISBLANK(F392)=TRUE,"",G391-F392&gt;1,G391-F392)</f>
        <v/>
      </c>
      <c r="H392" s="31" t="str">
        <f t="shared" si="6"/>
        <v/>
      </c>
      <c r="I392" s="2" t="str" cm="1">
        <f t="array" ref="I392">_xlfn.IFS(OR(D392="",E392="",F392=""),"",MOD(D392,12)&lt;&gt;0,"",MOD(D392,12)=0,"Year End"&amp;" "&amp;D392/12)</f>
        <v/>
      </c>
      <c r="V392">
        <v>381</v>
      </c>
    </row>
    <row r="393" spans="4:22">
      <c r="D393" s="32" t="str">
        <f>IF(V393&lt;=calcs!$F$4,'Loan Calculator'!V393,"")</f>
        <v/>
      </c>
      <c r="E393" s="29" t="str" cm="1">
        <f t="array" ref="E393">_xlfn.IFS(F393="","",G392&lt;F392,G392*calcs!$H$3,$D$8&lt;=0,$M$3-F393,$D$8&gt;0,$M$3-F393+$D$8,G392&lt;F392,G393*calcs!$H$3)</f>
        <v/>
      </c>
      <c r="F393" s="29" t="str" cm="1">
        <f t="array" ref="F393">_xlfn.IFS(F392="","",G392=0,"",G392&lt;1,"",G392&lt;F392,G392,AND(G392&gt;0,$D$8&gt;0),$D$8+($M$3-(G392*calcs!$H$3)),G392&gt;0,$M$3-(G392*calcs!$H$3))</f>
        <v/>
      </c>
      <c r="G393" s="29" t="str" cm="1">
        <f t="array" ref="G393">_xlfn.IFS(F393="","",G392-F393&lt;1,0,ISBLANK(F393)=TRUE,"",G392-F393&gt;1,G392-F393)</f>
        <v/>
      </c>
      <c r="H393" s="33" t="str">
        <f t="shared" si="6"/>
        <v/>
      </c>
      <c r="I393" s="2" t="str" cm="1">
        <f t="array" ref="I393">_xlfn.IFS(OR(D393="",E393="",F393=""),"",MOD(D393,12)&lt;&gt;0,"",MOD(D393,12)=0,"Year End"&amp;" "&amp;D393/12)</f>
        <v/>
      </c>
      <c r="V393">
        <v>382</v>
      </c>
    </row>
    <row r="394" spans="4:22">
      <c r="D394" s="30" t="str">
        <f>IF(V394&lt;=calcs!$F$4,'Loan Calculator'!V394,"")</f>
        <v/>
      </c>
      <c r="E394" s="27" t="str" cm="1">
        <f t="array" ref="E394">_xlfn.IFS(F394="","",G393&lt;F393,G393*calcs!$H$3,$D$8&lt;=0,$M$3-F394,$D$8&gt;0,$M$3-F394+$D$8,G393&lt;F393,G394*calcs!$H$3)</f>
        <v/>
      </c>
      <c r="F394" s="27" t="str" cm="1">
        <f t="array" ref="F394">_xlfn.IFS(F393="","",G393=0,"",G393&lt;1,"",G393&lt;F393,G393,AND(G393&gt;0,$D$8&gt;0),$D$8+($M$3-(G393*calcs!$H$3)),G393&gt;0,$M$3-(G393*calcs!$H$3))</f>
        <v/>
      </c>
      <c r="G394" s="27" t="str" cm="1">
        <f t="array" ref="G394">_xlfn.IFS(F394="","",G393-F394&lt;1,0,ISBLANK(F394)=TRUE,"",G393-F394&gt;1,G393-F394)</f>
        <v/>
      </c>
      <c r="H394" s="31" t="str">
        <f t="shared" si="6"/>
        <v/>
      </c>
      <c r="I394" s="2" t="str" cm="1">
        <f t="array" ref="I394">_xlfn.IFS(OR(D394="",E394="",F394=""),"",MOD(D394,12)&lt;&gt;0,"",MOD(D394,12)=0,"Year End"&amp;" "&amp;D394/12)</f>
        <v/>
      </c>
      <c r="V394">
        <v>383</v>
      </c>
    </row>
    <row r="395" spans="4:22">
      <c r="D395" s="32" t="str">
        <f>IF(V395&lt;=calcs!$F$4,'Loan Calculator'!V395,"")</f>
        <v/>
      </c>
      <c r="E395" s="29" t="str" cm="1">
        <f t="array" ref="E395">_xlfn.IFS(F395="","",G394&lt;F394,G394*calcs!$H$3,$D$8&lt;=0,$M$3-F395,$D$8&gt;0,$M$3-F395+$D$8,G394&lt;F394,G395*calcs!$H$3)</f>
        <v/>
      </c>
      <c r="F395" s="29" t="str" cm="1">
        <f t="array" ref="F395">_xlfn.IFS(F394="","",G394=0,"",G394&lt;1,"",G394&lt;F394,G394,AND(G394&gt;0,$D$8&gt;0),$D$8+($M$3-(G394*calcs!$H$3)),G394&gt;0,$M$3-(G394*calcs!$H$3))</f>
        <v/>
      </c>
      <c r="G395" s="29" t="str" cm="1">
        <f t="array" ref="G395">_xlfn.IFS(F395="","",G394-F395&lt;1,0,ISBLANK(F395)=TRUE,"",G394-F395&gt;1,G394-F395)</f>
        <v/>
      </c>
      <c r="H395" s="33" t="str">
        <f t="shared" si="6"/>
        <v/>
      </c>
      <c r="I395" s="2" t="str" cm="1">
        <f t="array" ref="I395">_xlfn.IFS(OR(D395="",E395="",F395=""),"",MOD(D395,12)&lt;&gt;0,"",MOD(D395,12)=0,"Year End"&amp;" "&amp;D395/12)</f>
        <v/>
      </c>
      <c r="V395">
        <v>384</v>
      </c>
    </row>
    <row r="396" spans="4:22">
      <c r="D396" s="30" t="str">
        <f>IF(V396&lt;=calcs!$F$4,'Loan Calculator'!V396,"")</f>
        <v/>
      </c>
      <c r="E396" s="27" t="str" cm="1">
        <f t="array" ref="E396">_xlfn.IFS(F396="","",G395&lt;F395,G395*calcs!$H$3,$D$8&lt;=0,$M$3-F396,$D$8&gt;0,$M$3-F396+$D$8,G395&lt;F395,G396*calcs!$H$3)</f>
        <v/>
      </c>
      <c r="F396" s="27" t="str" cm="1">
        <f t="array" ref="F396">_xlfn.IFS(F395="","",G395=0,"",G395&lt;1,"",G395&lt;F395,G395,AND(G395&gt;0,$D$8&gt;0),$D$8+($M$3-(G395*calcs!$H$3)),G395&gt;0,$M$3-(G395*calcs!$H$3))</f>
        <v/>
      </c>
      <c r="G396" s="27" t="str" cm="1">
        <f t="array" ref="G396">_xlfn.IFS(F396="","",G395-F396&lt;1,0,ISBLANK(F396)=TRUE,"",G395-F396&gt;1,G395-F396)</f>
        <v/>
      </c>
      <c r="H396" s="31" t="str">
        <f t="shared" si="6"/>
        <v/>
      </c>
      <c r="I396" s="2" t="str" cm="1">
        <f t="array" ref="I396">_xlfn.IFS(OR(D396="",E396="",F396=""),"",MOD(D396,12)&lt;&gt;0,"",MOD(D396,12)=0,"Year End"&amp;" "&amp;D396/12)</f>
        <v/>
      </c>
      <c r="V396">
        <v>385</v>
      </c>
    </row>
    <row r="397" spans="4:22">
      <c r="D397" s="32" t="str">
        <f>IF(V397&lt;=calcs!$F$4,'Loan Calculator'!V397,"")</f>
        <v/>
      </c>
      <c r="E397" s="29" t="str" cm="1">
        <f t="array" ref="E397">_xlfn.IFS(F397="","",G396&lt;F396,G396*calcs!$H$3,$D$8&lt;=0,$M$3-F397,$D$8&gt;0,$M$3-F397+$D$8,G396&lt;F396,G397*calcs!$H$3)</f>
        <v/>
      </c>
      <c r="F397" s="29" t="str" cm="1">
        <f t="array" ref="F397">_xlfn.IFS(F396="","",G396=0,"",G396&lt;1,"",G396&lt;F396,G396,AND(G396&gt;0,$D$8&gt;0),$D$8+($M$3-(G396*calcs!$H$3)),G396&gt;0,$M$3-(G396*calcs!$H$3))</f>
        <v/>
      </c>
      <c r="G397" s="29" t="str" cm="1">
        <f t="array" ref="G397">_xlfn.IFS(F397="","",G396-F397&lt;1,0,ISBLANK(F397)=TRUE,"",G396-F397&gt;1,G396-F397)</f>
        <v/>
      </c>
      <c r="H397" s="33" t="str">
        <f t="shared" si="6"/>
        <v/>
      </c>
      <c r="I397" s="2" t="str" cm="1">
        <f t="array" ref="I397">_xlfn.IFS(OR(D397="",E397="",F397=""),"",MOD(D397,12)&lt;&gt;0,"",MOD(D397,12)=0,"Year End"&amp;" "&amp;D397/12)</f>
        <v/>
      </c>
      <c r="V397">
        <v>386</v>
      </c>
    </row>
    <row r="398" spans="4:22">
      <c r="D398" s="30" t="str">
        <f>IF(V398&lt;=calcs!$F$4,'Loan Calculator'!V398,"")</f>
        <v/>
      </c>
      <c r="E398" s="27" t="str" cm="1">
        <f t="array" ref="E398">_xlfn.IFS(F398="","",G397&lt;F397,G397*calcs!$H$3,$D$8&lt;=0,$M$3-F398,$D$8&gt;0,$M$3-F398+$D$8,G397&lt;F397,G398*calcs!$H$3)</f>
        <v/>
      </c>
      <c r="F398" s="27" t="str" cm="1">
        <f t="array" ref="F398">_xlfn.IFS(F397="","",G397=0,"",G397&lt;1,"",G397&lt;F397,G397,AND(G397&gt;0,$D$8&gt;0),$D$8+($M$3-(G397*calcs!$H$3)),G397&gt;0,$M$3-(G397*calcs!$H$3))</f>
        <v/>
      </c>
      <c r="G398" s="27" t="str" cm="1">
        <f t="array" ref="G398">_xlfn.IFS(F398="","",G397-F398&lt;1,0,ISBLANK(F398)=TRUE,"",G397-F398&gt;1,G397-F398)</f>
        <v/>
      </c>
      <c r="H398" s="31" t="str">
        <f t="shared" ref="H398:H461" si="7">IF(OR(H397=0,H397="",E398="",F398=""),"",H397+E398+F398)</f>
        <v/>
      </c>
      <c r="I398" s="2" t="str" cm="1">
        <f t="array" ref="I398">_xlfn.IFS(OR(D398="",E398="",F398=""),"",MOD(D398,12)&lt;&gt;0,"",MOD(D398,12)=0,"Year End"&amp;" "&amp;D398/12)</f>
        <v/>
      </c>
      <c r="V398">
        <v>387</v>
      </c>
    </row>
    <row r="399" spans="4:22">
      <c r="D399" s="32" t="str">
        <f>IF(V399&lt;=calcs!$F$4,'Loan Calculator'!V399,"")</f>
        <v/>
      </c>
      <c r="E399" s="29" t="str" cm="1">
        <f t="array" ref="E399">_xlfn.IFS(F399="","",G398&lt;F398,G398*calcs!$H$3,$D$8&lt;=0,$M$3-F399,$D$8&gt;0,$M$3-F399+$D$8,G398&lt;F398,G399*calcs!$H$3)</f>
        <v/>
      </c>
      <c r="F399" s="29" t="str" cm="1">
        <f t="array" ref="F399">_xlfn.IFS(F398="","",G398=0,"",G398&lt;1,"",G398&lt;F398,G398,AND(G398&gt;0,$D$8&gt;0),$D$8+($M$3-(G398*calcs!$H$3)),G398&gt;0,$M$3-(G398*calcs!$H$3))</f>
        <v/>
      </c>
      <c r="G399" s="29" t="str" cm="1">
        <f t="array" ref="G399">_xlfn.IFS(F399="","",G398-F399&lt;1,0,ISBLANK(F399)=TRUE,"",G398-F399&gt;1,G398-F399)</f>
        <v/>
      </c>
      <c r="H399" s="33" t="str">
        <f t="shared" si="7"/>
        <v/>
      </c>
      <c r="I399" s="2" t="str" cm="1">
        <f t="array" ref="I399">_xlfn.IFS(OR(D399="",E399="",F399=""),"",MOD(D399,12)&lt;&gt;0,"",MOD(D399,12)=0,"Year End"&amp;" "&amp;D399/12)</f>
        <v/>
      </c>
      <c r="V399">
        <v>388</v>
      </c>
    </row>
    <row r="400" spans="4:22">
      <c r="D400" s="30" t="str">
        <f>IF(V400&lt;=calcs!$F$4,'Loan Calculator'!V400,"")</f>
        <v/>
      </c>
      <c r="E400" s="27" t="str" cm="1">
        <f t="array" ref="E400">_xlfn.IFS(F400="","",G399&lt;F399,G399*calcs!$H$3,$D$8&lt;=0,$M$3-F400,$D$8&gt;0,$M$3-F400+$D$8,G399&lt;F399,G400*calcs!$H$3)</f>
        <v/>
      </c>
      <c r="F400" s="27" t="str" cm="1">
        <f t="array" ref="F400">_xlfn.IFS(F399="","",G399=0,"",G399&lt;1,"",G399&lt;F399,G399,AND(G399&gt;0,$D$8&gt;0),$D$8+($M$3-(G399*calcs!$H$3)),G399&gt;0,$M$3-(G399*calcs!$H$3))</f>
        <v/>
      </c>
      <c r="G400" s="27" t="str" cm="1">
        <f t="array" ref="G400">_xlfn.IFS(F400="","",G399-F400&lt;1,0,ISBLANK(F400)=TRUE,"",G399-F400&gt;1,G399-F400)</f>
        <v/>
      </c>
      <c r="H400" s="31" t="str">
        <f t="shared" si="7"/>
        <v/>
      </c>
      <c r="I400" s="2" t="str" cm="1">
        <f t="array" ref="I400">_xlfn.IFS(OR(D400="",E400="",F400=""),"",MOD(D400,12)&lt;&gt;0,"",MOD(D400,12)=0,"Year End"&amp;" "&amp;D400/12)</f>
        <v/>
      </c>
      <c r="V400">
        <v>389</v>
      </c>
    </row>
    <row r="401" spans="4:22">
      <c r="D401" s="32" t="str">
        <f>IF(V401&lt;=calcs!$F$4,'Loan Calculator'!V401,"")</f>
        <v/>
      </c>
      <c r="E401" s="29" t="str" cm="1">
        <f t="array" ref="E401">_xlfn.IFS(F401="","",G400&lt;F400,G400*calcs!$H$3,$D$8&lt;=0,$M$3-F401,$D$8&gt;0,$M$3-F401+$D$8,G400&lt;F400,G401*calcs!$H$3)</f>
        <v/>
      </c>
      <c r="F401" s="29" t="str" cm="1">
        <f t="array" ref="F401">_xlfn.IFS(F400="","",G400=0,"",G400&lt;1,"",G400&lt;F400,G400,AND(G400&gt;0,$D$8&gt;0),$D$8+($M$3-(G400*calcs!$H$3)),G400&gt;0,$M$3-(G400*calcs!$H$3))</f>
        <v/>
      </c>
      <c r="G401" s="29" t="str" cm="1">
        <f t="array" ref="G401">_xlfn.IFS(F401="","",G400-F401&lt;1,0,ISBLANK(F401)=TRUE,"",G400-F401&gt;1,G400-F401)</f>
        <v/>
      </c>
      <c r="H401" s="33" t="str">
        <f t="shared" si="7"/>
        <v/>
      </c>
      <c r="I401" s="2" t="str" cm="1">
        <f t="array" ref="I401">_xlfn.IFS(OR(D401="",E401="",F401=""),"",MOD(D401,12)&lt;&gt;0,"",MOD(D401,12)=0,"Year End"&amp;" "&amp;D401/12)</f>
        <v/>
      </c>
      <c r="V401">
        <v>390</v>
      </c>
    </row>
    <row r="402" spans="4:22">
      <c r="D402" s="30" t="str">
        <f>IF(V402&lt;=calcs!$F$4,'Loan Calculator'!V402,"")</f>
        <v/>
      </c>
      <c r="E402" s="27" t="str" cm="1">
        <f t="array" ref="E402">_xlfn.IFS(F402="","",G401&lt;F401,G401*calcs!$H$3,$D$8&lt;=0,$M$3-F402,$D$8&gt;0,$M$3-F402+$D$8,G401&lt;F401,G402*calcs!$H$3)</f>
        <v/>
      </c>
      <c r="F402" s="27" t="str" cm="1">
        <f t="array" ref="F402">_xlfn.IFS(F401="","",G401=0,"",G401&lt;1,"",G401&lt;F401,G401,AND(G401&gt;0,$D$8&gt;0),$D$8+($M$3-(G401*calcs!$H$3)),G401&gt;0,$M$3-(G401*calcs!$H$3))</f>
        <v/>
      </c>
      <c r="G402" s="27" t="str" cm="1">
        <f t="array" ref="G402">_xlfn.IFS(F402="","",G401-F402&lt;1,0,ISBLANK(F402)=TRUE,"",G401-F402&gt;1,G401-F402)</f>
        <v/>
      </c>
      <c r="H402" s="31" t="str">
        <f t="shared" si="7"/>
        <v/>
      </c>
      <c r="I402" s="2" t="str" cm="1">
        <f t="array" ref="I402">_xlfn.IFS(OR(D402="",E402="",F402=""),"",MOD(D402,12)&lt;&gt;0,"",MOD(D402,12)=0,"Year End"&amp;" "&amp;D402/12)</f>
        <v/>
      </c>
      <c r="V402">
        <v>391</v>
      </c>
    </row>
    <row r="403" spans="4:22">
      <c r="D403" s="32" t="str">
        <f>IF(V403&lt;=calcs!$F$4,'Loan Calculator'!V403,"")</f>
        <v/>
      </c>
      <c r="E403" s="29" t="str" cm="1">
        <f t="array" ref="E403">_xlfn.IFS(F403="","",G402&lt;F402,G402*calcs!$H$3,$D$8&lt;=0,$M$3-F403,$D$8&gt;0,$M$3-F403+$D$8,G402&lt;F402,G403*calcs!$H$3)</f>
        <v/>
      </c>
      <c r="F403" s="29" t="str" cm="1">
        <f t="array" ref="F403">_xlfn.IFS(F402="","",G402=0,"",G402&lt;1,"",G402&lt;F402,G402,AND(G402&gt;0,$D$8&gt;0),$D$8+($M$3-(G402*calcs!$H$3)),G402&gt;0,$M$3-(G402*calcs!$H$3))</f>
        <v/>
      </c>
      <c r="G403" s="29" t="str" cm="1">
        <f t="array" ref="G403">_xlfn.IFS(F403="","",G402-F403&lt;1,0,ISBLANK(F403)=TRUE,"",G402-F403&gt;1,G402-F403)</f>
        <v/>
      </c>
      <c r="H403" s="33" t="str">
        <f t="shared" si="7"/>
        <v/>
      </c>
      <c r="I403" s="2" t="str" cm="1">
        <f t="array" ref="I403">_xlfn.IFS(OR(D403="",E403="",F403=""),"",MOD(D403,12)&lt;&gt;0,"",MOD(D403,12)=0,"Year End"&amp;" "&amp;D403/12)</f>
        <v/>
      </c>
      <c r="V403">
        <v>392</v>
      </c>
    </row>
    <row r="404" spans="4:22">
      <c r="D404" s="30" t="str">
        <f>IF(V404&lt;=calcs!$F$4,'Loan Calculator'!V404,"")</f>
        <v/>
      </c>
      <c r="E404" s="27" t="str" cm="1">
        <f t="array" ref="E404">_xlfn.IFS(F404="","",G403&lt;F403,G403*calcs!$H$3,$D$8&lt;=0,$M$3-F404,$D$8&gt;0,$M$3-F404+$D$8,G403&lt;F403,G404*calcs!$H$3)</f>
        <v/>
      </c>
      <c r="F404" s="27" t="str" cm="1">
        <f t="array" ref="F404">_xlfn.IFS(F403="","",G403=0,"",G403&lt;1,"",G403&lt;F403,G403,AND(G403&gt;0,$D$8&gt;0),$D$8+($M$3-(G403*calcs!$H$3)),G403&gt;0,$M$3-(G403*calcs!$H$3))</f>
        <v/>
      </c>
      <c r="G404" s="27" t="str" cm="1">
        <f t="array" ref="G404">_xlfn.IFS(F404="","",G403-F404&lt;1,0,ISBLANK(F404)=TRUE,"",G403-F404&gt;1,G403-F404)</f>
        <v/>
      </c>
      <c r="H404" s="31" t="str">
        <f t="shared" si="7"/>
        <v/>
      </c>
      <c r="I404" s="2" t="str" cm="1">
        <f t="array" ref="I404">_xlfn.IFS(OR(D404="",E404="",F404=""),"",MOD(D404,12)&lt;&gt;0,"",MOD(D404,12)=0,"Year End"&amp;" "&amp;D404/12)</f>
        <v/>
      </c>
      <c r="V404">
        <v>393</v>
      </c>
    </row>
    <row r="405" spans="4:22">
      <c r="D405" s="32" t="str">
        <f>IF(V405&lt;=calcs!$F$4,'Loan Calculator'!V405,"")</f>
        <v/>
      </c>
      <c r="E405" s="29" t="str" cm="1">
        <f t="array" ref="E405">_xlfn.IFS(F405="","",G404&lt;F404,G404*calcs!$H$3,$D$8&lt;=0,$M$3-F405,$D$8&gt;0,$M$3-F405+$D$8,G404&lt;F404,G405*calcs!$H$3)</f>
        <v/>
      </c>
      <c r="F405" s="29" t="str" cm="1">
        <f t="array" ref="F405">_xlfn.IFS(F404="","",G404=0,"",G404&lt;1,"",G404&lt;F404,G404,AND(G404&gt;0,$D$8&gt;0),$D$8+($M$3-(G404*calcs!$H$3)),G404&gt;0,$M$3-(G404*calcs!$H$3))</f>
        <v/>
      </c>
      <c r="G405" s="29" t="str" cm="1">
        <f t="array" ref="G405">_xlfn.IFS(F405="","",G404-F405&lt;1,0,ISBLANK(F405)=TRUE,"",G404-F405&gt;1,G404-F405)</f>
        <v/>
      </c>
      <c r="H405" s="33" t="str">
        <f t="shared" si="7"/>
        <v/>
      </c>
      <c r="I405" s="2" t="str" cm="1">
        <f t="array" ref="I405">_xlfn.IFS(OR(D405="",E405="",F405=""),"",MOD(D405,12)&lt;&gt;0,"",MOD(D405,12)=0,"Year End"&amp;" "&amp;D405/12)</f>
        <v/>
      </c>
      <c r="V405">
        <v>394</v>
      </c>
    </row>
    <row r="406" spans="4:22">
      <c r="D406" s="30" t="str">
        <f>IF(V406&lt;=calcs!$F$4,'Loan Calculator'!V406,"")</f>
        <v/>
      </c>
      <c r="E406" s="27" t="str" cm="1">
        <f t="array" ref="E406">_xlfn.IFS(F406="","",G405&lt;F405,G405*calcs!$H$3,$D$8&lt;=0,$M$3-F406,$D$8&gt;0,$M$3-F406+$D$8,G405&lt;F405,G406*calcs!$H$3)</f>
        <v/>
      </c>
      <c r="F406" s="27" t="str" cm="1">
        <f t="array" ref="F406">_xlfn.IFS(F405="","",G405=0,"",G405&lt;1,"",G405&lt;F405,G405,AND(G405&gt;0,$D$8&gt;0),$D$8+($M$3-(G405*calcs!$H$3)),G405&gt;0,$M$3-(G405*calcs!$H$3))</f>
        <v/>
      </c>
      <c r="G406" s="27" t="str" cm="1">
        <f t="array" ref="G406">_xlfn.IFS(F406="","",G405-F406&lt;1,0,ISBLANK(F406)=TRUE,"",G405-F406&gt;1,G405-F406)</f>
        <v/>
      </c>
      <c r="H406" s="31" t="str">
        <f t="shared" si="7"/>
        <v/>
      </c>
      <c r="I406" s="2" t="str" cm="1">
        <f t="array" ref="I406">_xlfn.IFS(OR(D406="",E406="",F406=""),"",MOD(D406,12)&lt;&gt;0,"",MOD(D406,12)=0,"Year End"&amp;" "&amp;D406/12)</f>
        <v/>
      </c>
      <c r="V406">
        <v>395</v>
      </c>
    </row>
    <row r="407" spans="4:22">
      <c r="D407" s="32" t="str">
        <f>IF(V407&lt;=calcs!$F$4,'Loan Calculator'!V407,"")</f>
        <v/>
      </c>
      <c r="E407" s="29" t="str" cm="1">
        <f t="array" ref="E407">_xlfn.IFS(F407="","",G406&lt;F406,G406*calcs!$H$3,$D$8&lt;=0,$M$3-F407,$D$8&gt;0,$M$3-F407+$D$8,G406&lt;F406,G407*calcs!$H$3)</f>
        <v/>
      </c>
      <c r="F407" s="29" t="str" cm="1">
        <f t="array" ref="F407">_xlfn.IFS(F406="","",G406=0,"",G406&lt;1,"",G406&lt;F406,G406,AND(G406&gt;0,$D$8&gt;0),$D$8+($M$3-(G406*calcs!$H$3)),G406&gt;0,$M$3-(G406*calcs!$H$3))</f>
        <v/>
      </c>
      <c r="G407" s="29" t="str" cm="1">
        <f t="array" ref="G407">_xlfn.IFS(F407="","",G406-F407&lt;1,0,ISBLANK(F407)=TRUE,"",G406-F407&gt;1,G406-F407)</f>
        <v/>
      </c>
      <c r="H407" s="33" t="str">
        <f t="shared" si="7"/>
        <v/>
      </c>
      <c r="I407" s="2" t="str" cm="1">
        <f t="array" ref="I407">_xlfn.IFS(OR(D407="",E407="",F407=""),"",MOD(D407,12)&lt;&gt;0,"",MOD(D407,12)=0,"Year End"&amp;" "&amp;D407/12)</f>
        <v/>
      </c>
      <c r="V407">
        <v>396</v>
      </c>
    </row>
    <row r="408" spans="4:22">
      <c r="D408" s="30" t="str">
        <f>IF(V408&lt;=calcs!$F$4,'Loan Calculator'!V408,"")</f>
        <v/>
      </c>
      <c r="E408" s="27" t="str" cm="1">
        <f t="array" ref="E408">_xlfn.IFS(F408="","",G407&lt;F407,G407*calcs!$H$3,$D$8&lt;=0,$M$3-F408,$D$8&gt;0,$M$3-F408+$D$8,G407&lt;F407,G408*calcs!$H$3)</f>
        <v/>
      </c>
      <c r="F408" s="27" t="str" cm="1">
        <f t="array" ref="F408">_xlfn.IFS(F407="","",G407=0,"",G407&lt;1,"",G407&lt;F407,G407,AND(G407&gt;0,$D$8&gt;0),$D$8+($M$3-(G407*calcs!$H$3)),G407&gt;0,$M$3-(G407*calcs!$H$3))</f>
        <v/>
      </c>
      <c r="G408" s="27" t="str" cm="1">
        <f t="array" ref="G408">_xlfn.IFS(F408="","",G407-F408&lt;1,0,ISBLANK(F408)=TRUE,"",G407-F408&gt;1,G407-F408)</f>
        <v/>
      </c>
      <c r="H408" s="31" t="str">
        <f t="shared" si="7"/>
        <v/>
      </c>
      <c r="I408" s="2" t="str" cm="1">
        <f t="array" ref="I408">_xlfn.IFS(OR(D408="",E408="",F408=""),"",MOD(D408,12)&lt;&gt;0,"",MOD(D408,12)=0,"Year End"&amp;" "&amp;D408/12)</f>
        <v/>
      </c>
      <c r="V408">
        <v>397</v>
      </c>
    </row>
    <row r="409" spans="4:22">
      <c r="D409" s="32" t="str">
        <f>IF(V409&lt;=calcs!$F$4,'Loan Calculator'!V409,"")</f>
        <v/>
      </c>
      <c r="E409" s="29" t="str" cm="1">
        <f t="array" ref="E409">_xlfn.IFS(F409="","",G408&lt;F408,G408*calcs!$H$3,$D$8&lt;=0,$M$3-F409,$D$8&gt;0,$M$3-F409+$D$8,G408&lt;F408,G409*calcs!$H$3)</f>
        <v/>
      </c>
      <c r="F409" s="29" t="str" cm="1">
        <f t="array" ref="F409">_xlfn.IFS(F408="","",G408=0,"",G408&lt;1,"",G408&lt;F408,G408,AND(G408&gt;0,$D$8&gt;0),$D$8+($M$3-(G408*calcs!$H$3)),G408&gt;0,$M$3-(G408*calcs!$H$3))</f>
        <v/>
      </c>
      <c r="G409" s="29" t="str" cm="1">
        <f t="array" ref="G409">_xlfn.IFS(F409="","",G408-F409&lt;1,0,ISBLANK(F409)=TRUE,"",G408-F409&gt;1,G408-F409)</f>
        <v/>
      </c>
      <c r="H409" s="33" t="str">
        <f t="shared" si="7"/>
        <v/>
      </c>
      <c r="I409" s="2" t="str" cm="1">
        <f t="array" ref="I409">_xlfn.IFS(OR(D409="",E409="",F409=""),"",MOD(D409,12)&lt;&gt;0,"",MOD(D409,12)=0,"Year End"&amp;" "&amp;D409/12)</f>
        <v/>
      </c>
      <c r="V409">
        <v>398</v>
      </c>
    </row>
    <row r="410" spans="4:22">
      <c r="D410" s="30" t="str">
        <f>IF(V410&lt;=calcs!$F$4,'Loan Calculator'!V410,"")</f>
        <v/>
      </c>
      <c r="E410" s="27" t="str" cm="1">
        <f t="array" ref="E410">_xlfn.IFS(F410="","",G409&lt;F409,G409*calcs!$H$3,$D$8&lt;=0,$M$3-F410,$D$8&gt;0,$M$3-F410+$D$8,G409&lt;F409,G410*calcs!$H$3)</f>
        <v/>
      </c>
      <c r="F410" s="27" t="str" cm="1">
        <f t="array" ref="F410">_xlfn.IFS(F409="","",G409=0,"",G409&lt;1,"",G409&lt;F409,G409,AND(G409&gt;0,$D$8&gt;0),$D$8+($M$3-(G409*calcs!$H$3)),G409&gt;0,$M$3-(G409*calcs!$H$3))</f>
        <v/>
      </c>
      <c r="G410" s="27" t="str" cm="1">
        <f t="array" ref="G410">_xlfn.IFS(F410="","",G409-F410&lt;1,0,ISBLANK(F410)=TRUE,"",G409-F410&gt;1,G409-F410)</f>
        <v/>
      </c>
      <c r="H410" s="31" t="str">
        <f t="shared" si="7"/>
        <v/>
      </c>
      <c r="I410" s="2" t="str" cm="1">
        <f t="array" ref="I410">_xlfn.IFS(OR(D410="",E410="",F410=""),"",MOD(D410,12)&lt;&gt;0,"",MOD(D410,12)=0,"Year End"&amp;" "&amp;D410/12)</f>
        <v/>
      </c>
      <c r="V410">
        <v>399</v>
      </c>
    </row>
    <row r="411" spans="4:22">
      <c r="D411" s="32" t="str">
        <f>IF(V411&lt;=calcs!$F$4,'Loan Calculator'!V411,"")</f>
        <v/>
      </c>
      <c r="E411" s="29" t="str" cm="1">
        <f t="array" ref="E411">_xlfn.IFS(F411="","",G410&lt;F410,G410*calcs!$H$3,$D$8&lt;=0,$M$3-F411,$D$8&gt;0,$M$3-F411+$D$8,G410&lt;F410,G411*calcs!$H$3)</f>
        <v/>
      </c>
      <c r="F411" s="29" t="str" cm="1">
        <f t="array" ref="F411">_xlfn.IFS(F410="","",G410=0,"",G410&lt;1,"",G410&lt;F410,G410,AND(G410&gt;0,$D$8&gt;0),$D$8+($M$3-(G410*calcs!$H$3)),G410&gt;0,$M$3-(G410*calcs!$H$3))</f>
        <v/>
      </c>
      <c r="G411" s="29" t="str" cm="1">
        <f t="array" ref="G411">_xlfn.IFS(F411="","",G410-F411&lt;1,0,ISBLANK(F411)=TRUE,"",G410-F411&gt;1,G410-F411)</f>
        <v/>
      </c>
      <c r="H411" s="33" t="str">
        <f t="shared" si="7"/>
        <v/>
      </c>
      <c r="I411" s="2" t="str" cm="1">
        <f t="array" ref="I411">_xlfn.IFS(OR(D411="",E411="",F411=""),"",MOD(D411,12)&lt;&gt;0,"",MOD(D411,12)=0,"Year End"&amp;" "&amp;D411/12)</f>
        <v/>
      </c>
      <c r="V411">
        <v>400</v>
      </c>
    </row>
    <row r="412" spans="4:22">
      <c r="D412" s="30" t="str">
        <f>IF(V412&lt;=calcs!$F$4,'Loan Calculator'!V412,"")</f>
        <v/>
      </c>
      <c r="E412" s="27" t="str" cm="1">
        <f t="array" ref="E412">_xlfn.IFS(F412="","",G411&lt;F411,G411*calcs!$H$3,$D$8&lt;=0,$M$3-F412,$D$8&gt;0,$M$3-F412+$D$8,G411&lt;F411,G412*calcs!$H$3)</f>
        <v/>
      </c>
      <c r="F412" s="27" t="str" cm="1">
        <f t="array" ref="F412">_xlfn.IFS(F411="","",G411=0,"",G411&lt;1,"",G411&lt;F411,G411,AND(G411&gt;0,$D$8&gt;0),$D$8+($M$3-(G411*calcs!$H$3)),G411&gt;0,$M$3-(G411*calcs!$H$3))</f>
        <v/>
      </c>
      <c r="G412" s="27" t="str" cm="1">
        <f t="array" ref="G412">_xlfn.IFS(F412="","",G411-F412&lt;1,0,ISBLANK(F412)=TRUE,"",G411-F412&gt;1,G411-F412)</f>
        <v/>
      </c>
      <c r="H412" s="31" t="str">
        <f t="shared" si="7"/>
        <v/>
      </c>
      <c r="I412" s="2" t="str" cm="1">
        <f t="array" ref="I412">_xlfn.IFS(OR(D412="",E412="",F412=""),"",MOD(D412,12)&lt;&gt;0,"",MOD(D412,12)=0,"Year End"&amp;" "&amp;D412/12)</f>
        <v/>
      </c>
      <c r="V412">
        <v>401</v>
      </c>
    </row>
    <row r="413" spans="4:22">
      <c r="D413" s="32" t="str">
        <f>IF(V413&lt;=calcs!$F$4,'Loan Calculator'!V413,"")</f>
        <v/>
      </c>
      <c r="E413" s="29" t="str" cm="1">
        <f t="array" ref="E413">_xlfn.IFS(F413="","",G412&lt;F412,G412*calcs!$H$3,$D$8&lt;=0,$M$3-F413,$D$8&gt;0,$M$3-F413+$D$8,G412&lt;F412,G413*calcs!$H$3)</f>
        <v/>
      </c>
      <c r="F413" s="29" t="str" cm="1">
        <f t="array" ref="F413">_xlfn.IFS(F412="","",G412=0,"",G412&lt;1,"",G412&lt;F412,G412,AND(G412&gt;0,$D$8&gt;0),$D$8+($M$3-(G412*calcs!$H$3)),G412&gt;0,$M$3-(G412*calcs!$H$3))</f>
        <v/>
      </c>
      <c r="G413" s="29" t="str" cm="1">
        <f t="array" ref="G413">_xlfn.IFS(F413="","",G412-F413&lt;1,0,ISBLANK(F413)=TRUE,"",G412-F413&gt;1,G412-F413)</f>
        <v/>
      </c>
      <c r="H413" s="33" t="str">
        <f t="shared" si="7"/>
        <v/>
      </c>
      <c r="I413" s="2" t="str" cm="1">
        <f t="array" ref="I413">_xlfn.IFS(OR(D413="",E413="",F413=""),"",MOD(D413,12)&lt;&gt;0,"",MOD(D413,12)=0,"Year End"&amp;" "&amp;D413/12)</f>
        <v/>
      </c>
      <c r="V413">
        <v>402</v>
      </c>
    </row>
    <row r="414" spans="4:22">
      <c r="D414" s="30" t="str">
        <f>IF(V414&lt;=calcs!$F$4,'Loan Calculator'!V414,"")</f>
        <v/>
      </c>
      <c r="E414" s="27" t="str" cm="1">
        <f t="array" ref="E414">_xlfn.IFS(F414="","",G413&lt;F413,G413*calcs!$H$3,$D$8&lt;=0,$M$3-F414,$D$8&gt;0,$M$3-F414+$D$8,G413&lt;F413,G414*calcs!$H$3)</f>
        <v/>
      </c>
      <c r="F414" s="27" t="str" cm="1">
        <f t="array" ref="F414">_xlfn.IFS(F413="","",G413=0,"",G413&lt;1,"",G413&lt;F413,G413,AND(G413&gt;0,$D$8&gt;0),$D$8+($M$3-(G413*calcs!$H$3)),G413&gt;0,$M$3-(G413*calcs!$H$3))</f>
        <v/>
      </c>
      <c r="G414" s="27" t="str" cm="1">
        <f t="array" ref="G414">_xlfn.IFS(F414="","",G413-F414&lt;1,0,ISBLANK(F414)=TRUE,"",G413-F414&gt;1,G413-F414)</f>
        <v/>
      </c>
      <c r="H414" s="31" t="str">
        <f t="shared" si="7"/>
        <v/>
      </c>
      <c r="I414" s="2" t="str" cm="1">
        <f t="array" ref="I414">_xlfn.IFS(OR(D414="",E414="",F414=""),"",MOD(D414,12)&lt;&gt;0,"",MOD(D414,12)=0,"Year End"&amp;" "&amp;D414/12)</f>
        <v/>
      </c>
      <c r="V414">
        <v>403</v>
      </c>
    </row>
    <row r="415" spans="4:22">
      <c r="D415" s="32" t="str">
        <f>IF(V415&lt;=calcs!$F$4,'Loan Calculator'!V415,"")</f>
        <v/>
      </c>
      <c r="E415" s="29" t="str" cm="1">
        <f t="array" ref="E415">_xlfn.IFS(F415="","",G414&lt;F414,G414*calcs!$H$3,$D$8&lt;=0,$M$3-F415,$D$8&gt;0,$M$3-F415+$D$8,G414&lt;F414,G415*calcs!$H$3)</f>
        <v/>
      </c>
      <c r="F415" s="29" t="str" cm="1">
        <f t="array" ref="F415">_xlfn.IFS(F414="","",G414=0,"",G414&lt;1,"",G414&lt;F414,G414,AND(G414&gt;0,$D$8&gt;0),$D$8+($M$3-(G414*calcs!$H$3)),G414&gt;0,$M$3-(G414*calcs!$H$3))</f>
        <v/>
      </c>
      <c r="G415" s="29" t="str" cm="1">
        <f t="array" ref="G415">_xlfn.IFS(F415="","",G414-F415&lt;1,0,ISBLANK(F415)=TRUE,"",G414-F415&gt;1,G414-F415)</f>
        <v/>
      </c>
      <c r="H415" s="33" t="str">
        <f t="shared" si="7"/>
        <v/>
      </c>
      <c r="I415" s="2" t="str" cm="1">
        <f t="array" ref="I415">_xlfn.IFS(OR(D415="",E415="",F415=""),"",MOD(D415,12)&lt;&gt;0,"",MOD(D415,12)=0,"Year End"&amp;" "&amp;D415/12)</f>
        <v/>
      </c>
      <c r="V415">
        <v>404</v>
      </c>
    </row>
    <row r="416" spans="4:22">
      <c r="D416" s="30" t="str">
        <f>IF(V416&lt;=calcs!$F$4,'Loan Calculator'!V416,"")</f>
        <v/>
      </c>
      <c r="E416" s="27" t="str" cm="1">
        <f t="array" ref="E416">_xlfn.IFS(F416="","",G415&lt;F415,G415*calcs!$H$3,$D$8&lt;=0,$M$3-F416,$D$8&gt;0,$M$3-F416+$D$8,G415&lt;F415,G416*calcs!$H$3)</f>
        <v/>
      </c>
      <c r="F416" s="27" t="str" cm="1">
        <f t="array" ref="F416">_xlfn.IFS(F415="","",G415=0,"",G415&lt;1,"",G415&lt;F415,G415,AND(G415&gt;0,$D$8&gt;0),$D$8+($M$3-(G415*calcs!$H$3)),G415&gt;0,$M$3-(G415*calcs!$H$3))</f>
        <v/>
      </c>
      <c r="G416" s="27" t="str" cm="1">
        <f t="array" ref="G416">_xlfn.IFS(F416="","",G415-F416&lt;1,0,ISBLANK(F416)=TRUE,"",G415-F416&gt;1,G415-F416)</f>
        <v/>
      </c>
      <c r="H416" s="31" t="str">
        <f t="shared" si="7"/>
        <v/>
      </c>
      <c r="I416" s="2" t="str" cm="1">
        <f t="array" ref="I416">_xlfn.IFS(OR(D416="",E416="",F416=""),"",MOD(D416,12)&lt;&gt;0,"",MOD(D416,12)=0,"Year End"&amp;" "&amp;D416/12)</f>
        <v/>
      </c>
      <c r="V416">
        <v>405</v>
      </c>
    </row>
    <row r="417" spans="4:22">
      <c r="D417" s="32" t="str">
        <f>IF(V417&lt;=calcs!$F$4,'Loan Calculator'!V417,"")</f>
        <v/>
      </c>
      <c r="E417" s="29" t="str" cm="1">
        <f t="array" ref="E417">_xlfn.IFS(F417="","",G416&lt;F416,G416*calcs!$H$3,$D$8&lt;=0,$M$3-F417,$D$8&gt;0,$M$3-F417+$D$8,G416&lt;F416,G417*calcs!$H$3)</f>
        <v/>
      </c>
      <c r="F417" s="29" t="str" cm="1">
        <f t="array" ref="F417">_xlfn.IFS(F416="","",G416=0,"",G416&lt;1,"",G416&lt;F416,G416,AND(G416&gt;0,$D$8&gt;0),$D$8+($M$3-(G416*calcs!$H$3)),G416&gt;0,$M$3-(G416*calcs!$H$3))</f>
        <v/>
      </c>
      <c r="G417" s="29" t="str" cm="1">
        <f t="array" ref="G417">_xlfn.IFS(F417="","",G416-F417&lt;1,0,ISBLANK(F417)=TRUE,"",G416-F417&gt;1,G416-F417)</f>
        <v/>
      </c>
      <c r="H417" s="33" t="str">
        <f t="shared" si="7"/>
        <v/>
      </c>
      <c r="I417" s="2" t="str" cm="1">
        <f t="array" ref="I417">_xlfn.IFS(OR(D417="",E417="",F417=""),"",MOD(D417,12)&lt;&gt;0,"",MOD(D417,12)=0,"Year End"&amp;" "&amp;D417/12)</f>
        <v/>
      </c>
      <c r="V417">
        <v>406</v>
      </c>
    </row>
    <row r="418" spans="4:22">
      <c r="D418" s="30" t="str">
        <f>IF(V418&lt;=calcs!$F$4,'Loan Calculator'!V418,"")</f>
        <v/>
      </c>
      <c r="E418" s="27" t="str" cm="1">
        <f t="array" ref="E418">_xlfn.IFS(F418="","",G417&lt;F417,G417*calcs!$H$3,$D$8&lt;=0,$M$3-F418,$D$8&gt;0,$M$3-F418+$D$8,G417&lt;F417,G418*calcs!$H$3)</f>
        <v/>
      </c>
      <c r="F418" s="27" t="str" cm="1">
        <f t="array" ref="F418">_xlfn.IFS(F417="","",G417=0,"",G417&lt;1,"",G417&lt;F417,G417,AND(G417&gt;0,$D$8&gt;0),$D$8+($M$3-(G417*calcs!$H$3)),G417&gt;0,$M$3-(G417*calcs!$H$3))</f>
        <v/>
      </c>
      <c r="G418" s="27" t="str" cm="1">
        <f t="array" ref="G418">_xlfn.IFS(F418="","",G417-F418&lt;1,0,ISBLANK(F418)=TRUE,"",G417-F418&gt;1,G417-F418)</f>
        <v/>
      </c>
      <c r="H418" s="31" t="str">
        <f t="shared" si="7"/>
        <v/>
      </c>
      <c r="I418" s="2" t="str" cm="1">
        <f t="array" ref="I418">_xlfn.IFS(OR(D418="",E418="",F418=""),"",MOD(D418,12)&lt;&gt;0,"",MOD(D418,12)=0,"Year End"&amp;" "&amp;D418/12)</f>
        <v/>
      </c>
      <c r="V418">
        <v>407</v>
      </c>
    </row>
    <row r="419" spans="4:22">
      <c r="D419" s="32" t="str">
        <f>IF(V419&lt;=calcs!$F$4,'Loan Calculator'!V419,"")</f>
        <v/>
      </c>
      <c r="E419" s="29" t="str" cm="1">
        <f t="array" ref="E419">_xlfn.IFS(F419="","",G418&lt;F418,G418*calcs!$H$3,$D$8&lt;=0,$M$3-F419,$D$8&gt;0,$M$3-F419+$D$8,G418&lt;F418,G419*calcs!$H$3)</f>
        <v/>
      </c>
      <c r="F419" s="29" t="str" cm="1">
        <f t="array" ref="F419">_xlfn.IFS(F418="","",G418=0,"",G418&lt;1,"",G418&lt;F418,G418,AND(G418&gt;0,$D$8&gt;0),$D$8+($M$3-(G418*calcs!$H$3)),G418&gt;0,$M$3-(G418*calcs!$H$3))</f>
        <v/>
      </c>
      <c r="G419" s="29" t="str" cm="1">
        <f t="array" ref="G419">_xlfn.IFS(F419="","",G418-F419&lt;1,0,ISBLANK(F419)=TRUE,"",G418-F419&gt;1,G418-F419)</f>
        <v/>
      </c>
      <c r="H419" s="33" t="str">
        <f t="shared" si="7"/>
        <v/>
      </c>
      <c r="I419" s="2" t="str" cm="1">
        <f t="array" ref="I419">_xlfn.IFS(OR(D419="",E419="",F419=""),"",MOD(D419,12)&lt;&gt;0,"",MOD(D419,12)=0,"Year End"&amp;" "&amp;D419/12)</f>
        <v/>
      </c>
      <c r="V419">
        <v>408</v>
      </c>
    </row>
    <row r="420" spans="4:22">
      <c r="D420" s="30" t="str">
        <f>IF(V420&lt;=calcs!$F$4,'Loan Calculator'!V420,"")</f>
        <v/>
      </c>
      <c r="E420" s="27" t="str" cm="1">
        <f t="array" ref="E420">_xlfn.IFS(F420="","",G419&lt;F419,G419*calcs!$H$3,$D$8&lt;=0,$M$3-F420,$D$8&gt;0,$M$3-F420+$D$8,G419&lt;F419,G420*calcs!$H$3)</f>
        <v/>
      </c>
      <c r="F420" s="27" t="str" cm="1">
        <f t="array" ref="F420">_xlfn.IFS(F419="","",G419=0,"",G419&lt;1,"",G419&lt;F419,G419,AND(G419&gt;0,$D$8&gt;0),$D$8+($M$3-(G419*calcs!$H$3)),G419&gt;0,$M$3-(G419*calcs!$H$3))</f>
        <v/>
      </c>
      <c r="G420" s="27" t="str" cm="1">
        <f t="array" ref="G420">_xlfn.IFS(F420="","",G419-F420&lt;1,0,ISBLANK(F420)=TRUE,"",G419-F420&gt;1,G419-F420)</f>
        <v/>
      </c>
      <c r="H420" s="31" t="str">
        <f t="shared" si="7"/>
        <v/>
      </c>
      <c r="I420" s="2" t="str" cm="1">
        <f t="array" ref="I420">_xlfn.IFS(OR(D420="",E420="",F420=""),"",MOD(D420,12)&lt;&gt;0,"",MOD(D420,12)=0,"Year End"&amp;" "&amp;D420/12)</f>
        <v/>
      </c>
      <c r="V420">
        <v>409</v>
      </c>
    </row>
    <row r="421" spans="4:22">
      <c r="D421" s="32" t="str">
        <f>IF(V421&lt;=calcs!$F$4,'Loan Calculator'!V421,"")</f>
        <v/>
      </c>
      <c r="E421" s="29" t="str" cm="1">
        <f t="array" ref="E421">_xlfn.IFS(F421="","",G420&lt;F420,G420*calcs!$H$3,$D$8&lt;=0,$M$3-F421,$D$8&gt;0,$M$3-F421+$D$8,G420&lt;F420,G421*calcs!$H$3)</f>
        <v/>
      </c>
      <c r="F421" s="29" t="str" cm="1">
        <f t="array" ref="F421">_xlfn.IFS(F420="","",G420=0,"",G420&lt;1,"",G420&lt;F420,G420,AND(G420&gt;0,$D$8&gt;0),$D$8+($M$3-(G420*calcs!$H$3)),G420&gt;0,$M$3-(G420*calcs!$H$3))</f>
        <v/>
      </c>
      <c r="G421" s="29" t="str" cm="1">
        <f t="array" ref="G421">_xlfn.IFS(F421="","",G420-F421&lt;1,0,ISBLANK(F421)=TRUE,"",G420-F421&gt;1,G420-F421)</f>
        <v/>
      </c>
      <c r="H421" s="33" t="str">
        <f t="shared" si="7"/>
        <v/>
      </c>
      <c r="I421" s="2" t="str" cm="1">
        <f t="array" ref="I421">_xlfn.IFS(OR(D421="",E421="",F421=""),"",MOD(D421,12)&lt;&gt;0,"",MOD(D421,12)=0,"Year End"&amp;" "&amp;D421/12)</f>
        <v/>
      </c>
      <c r="V421">
        <v>410</v>
      </c>
    </row>
    <row r="422" spans="4:22">
      <c r="D422" s="30" t="str">
        <f>IF(V422&lt;=calcs!$F$4,'Loan Calculator'!V422,"")</f>
        <v/>
      </c>
      <c r="E422" s="27" t="str" cm="1">
        <f t="array" ref="E422">_xlfn.IFS(F422="","",G421&lt;F421,G421*calcs!$H$3,$D$8&lt;=0,$M$3-F422,$D$8&gt;0,$M$3-F422+$D$8,G421&lt;F421,G422*calcs!$H$3)</f>
        <v/>
      </c>
      <c r="F422" s="27" t="str" cm="1">
        <f t="array" ref="F422">_xlfn.IFS(F421="","",G421=0,"",G421&lt;1,"",G421&lt;F421,G421,AND(G421&gt;0,$D$8&gt;0),$D$8+($M$3-(G421*calcs!$H$3)),G421&gt;0,$M$3-(G421*calcs!$H$3))</f>
        <v/>
      </c>
      <c r="G422" s="27" t="str" cm="1">
        <f t="array" ref="G422">_xlfn.IFS(F422="","",G421-F422&lt;1,0,ISBLANK(F422)=TRUE,"",G421-F422&gt;1,G421-F422)</f>
        <v/>
      </c>
      <c r="H422" s="31" t="str">
        <f t="shared" si="7"/>
        <v/>
      </c>
      <c r="I422" s="2" t="str" cm="1">
        <f t="array" ref="I422">_xlfn.IFS(OR(D422="",E422="",F422=""),"",MOD(D422,12)&lt;&gt;0,"",MOD(D422,12)=0,"Year End"&amp;" "&amp;D422/12)</f>
        <v/>
      </c>
      <c r="V422">
        <v>411</v>
      </c>
    </row>
    <row r="423" spans="4:22">
      <c r="D423" s="32" t="str">
        <f>IF(V423&lt;=calcs!$F$4,'Loan Calculator'!V423,"")</f>
        <v/>
      </c>
      <c r="E423" s="29" t="str" cm="1">
        <f t="array" ref="E423">_xlfn.IFS(F423="","",G422&lt;F422,G422*calcs!$H$3,$D$8&lt;=0,$M$3-F423,$D$8&gt;0,$M$3-F423+$D$8,G422&lt;F422,G423*calcs!$H$3)</f>
        <v/>
      </c>
      <c r="F423" s="29" t="str" cm="1">
        <f t="array" ref="F423">_xlfn.IFS(F422="","",G422=0,"",G422&lt;1,"",G422&lt;F422,G422,AND(G422&gt;0,$D$8&gt;0),$D$8+($M$3-(G422*calcs!$H$3)),G422&gt;0,$M$3-(G422*calcs!$H$3))</f>
        <v/>
      </c>
      <c r="G423" s="29" t="str" cm="1">
        <f t="array" ref="G423">_xlfn.IFS(F423="","",G422-F423&lt;1,0,ISBLANK(F423)=TRUE,"",G422-F423&gt;1,G422-F423)</f>
        <v/>
      </c>
      <c r="H423" s="33" t="str">
        <f t="shared" si="7"/>
        <v/>
      </c>
      <c r="I423" s="2" t="str" cm="1">
        <f t="array" ref="I423">_xlfn.IFS(OR(D423="",E423="",F423=""),"",MOD(D423,12)&lt;&gt;0,"",MOD(D423,12)=0,"Year End"&amp;" "&amp;D423/12)</f>
        <v/>
      </c>
      <c r="V423">
        <v>412</v>
      </c>
    </row>
    <row r="424" spans="4:22">
      <c r="D424" s="30" t="str">
        <f>IF(V424&lt;=calcs!$F$4,'Loan Calculator'!V424,"")</f>
        <v/>
      </c>
      <c r="E424" s="27" t="str" cm="1">
        <f t="array" ref="E424">_xlfn.IFS(F424="","",G423&lt;F423,G423*calcs!$H$3,$D$8&lt;=0,$M$3-F424,$D$8&gt;0,$M$3-F424+$D$8,G423&lt;F423,G424*calcs!$H$3)</f>
        <v/>
      </c>
      <c r="F424" s="27" t="str" cm="1">
        <f t="array" ref="F424">_xlfn.IFS(F423="","",G423=0,"",G423&lt;1,"",G423&lt;F423,G423,AND(G423&gt;0,$D$8&gt;0),$D$8+($M$3-(G423*calcs!$H$3)),G423&gt;0,$M$3-(G423*calcs!$H$3))</f>
        <v/>
      </c>
      <c r="G424" s="27" t="str" cm="1">
        <f t="array" ref="G424">_xlfn.IFS(F424="","",G423-F424&lt;1,0,ISBLANK(F424)=TRUE,"",G423-F424&gt;1,G423-F424)</f>
        <v/>
      </c>
      <c r="H424" s="31" t="str">
        <f t="shared" si="7"/>
        <v/>
      </c>
      <c r="I424" s="2" t="str" cm="1">
        <f t="array" ref="I424">_xlfn.IFS(OR(D424="",E424="",F424=""),"",MOD(D424,12)&lt;&gt;0,"",MOD(D424,12)=0,"Year End"&amp;" "&amp;D424/12)</f>
        <v/>
      </c>
      <c r="V424">
        <v>413</v>
      </c>
    </row>
    <row r="425" spans="4:22">
      <c r="D425" s="32" t="str">
        <f>IF(V425&lt;=calcs!$F$4,'Loan Calculator'!V425,"")</f>
        <v/>
      </c>
      <c r="E425" s="29" t="str" cm="1">
        <f t="array" ref="E425">_xlfn.IFS(F425="","",G424&lt;F424,G424*calcs!$H$3,$D$8&lt;=0,$M$3-F425,$D$8&gt;0,$M$3-F425+$D$8,G424&lt;F424,G425*calcs!$H$3)</f>
        <v/>
      </c>
      <c r="F425" s="29" t="str" cm="1">
        <f t="array" ref="F425">_xlfn.IFS(F424="","",G424=0,"",G424&lt;1,"",G424&lt;F424,G424,AND(G424&gt;0,$D$8&gt;0),$D$8+($M$3-(G424*calcs!$H$3)),G424&gt;0,$M$3-(G424*calcs!$H$3))</f>
        <v/>
      </c>
      <c r="G425" s="29" t="str" cm="1">
        <f t="array" ref="G425">_xlfn.IFS(F425="","",G424-F425&lt;1,0,ISBLANK(F425)=TRUE,"",G424-F425&gt;1,G424-F425)</f>
        <v/>
      </c>
      <c r="H425" s="33" t="str">
        <f t="shared" si="7"/>
        <v/>
      </c>
      <c r="I425" s="2" t="str" cm="1">
        <f t="array" ref="I425">_xlfn.IFS(OR(D425="",E425="",F425=""),"",MOD(D425,12)&lt;&gt;0,"",MOD(D425,12)=0,"Year End"&amp;" "&amp;D425/12)</f>
        <v/>
      </c>
      <c r="V425">
        <v>414</v>
      </c>
    </row>
    <row r="426" spans="4:22">
      <c r="D426" s="30" t="str">
        <f>IF(V426&lt;=calcs!$F$4,'Loan Calculator'!V426,"")</f>
        <v/>
      </c>
      <c r="E426" s="27" t="str" cm="1">
        <f t="array" ref="E426">_xlfn.IFS(F426="","",G425&lt;F425,G425*calcs!$H$3,$D$8&lt;=0,$M$3-F426,$D$8&gt;0,$M$3-F426+$D$8,G425&lt;F425,G426*calcs!$H$3)</f>
        <v/>
      </c>
      <c r="F426" s="27" t="str" cm="1">
        <f t="array" ref="F426">_xlfn.IFS(F425="","",G425=0,"",G425&lt;1,"",G425&lt;F425,G425,AND(G425&gt;0,$D$8&gt;0),$D$8+($M$3-(G425*calcs!$H$3)),G425&gt;0,$M$3-(G425*calcs!$H$3))</f>
        <v/>
      </c>
      <c r="G426" s="27" t="str" cm="1">
        <f t="array" ref="G426">_xlfn.IFS(F426="","",G425-F426&lt;1,0,ISBLANK(F426)=TRUE,"",G425-F426&gt;1,G425-F426)</f>
        <v/>
      </c>
      <c r="H426" s="31" t="str">
        <f t="shared" si="7"/>
        <v/>
      </c>
      <c r="I426" s="2" t="str" cm="1">
        <f t="array" ref="I426">_xlfn.IFS(OR(D426="",E426="",F426=""),"",MOD(D426,12)&lt;&gt;0,"",MOD(D426,12)=0,"Year End"&amp;" "&amp;D426/12)</f>
        <v/>
      </c>
      <c r="V426">
        <v>415</v>
      </c>
    </row>
    <row r="427" spans="4:22">
      <c r="D427" s="32" t="str">
        <f>IF(V427&lt;=calcs!$F$4,'Loan Calculator'!V427,"")</f>
        <v/>
      </c>
      <c r="E427" s="29" t="str" cm="1">
        <f t="array" ref="E427">_xlfn.IFS(F427="","",G426&lt;F426,G426*calcs!$H$3,$D$8&lt;=0,$M$3-F427,$D$8&gt;0,$M$3-F427+$D$8,G426&lt;F426,G427*calcs!$H$3)</f>
        <v/>
      </c>
      <c r="F427" s="29" t="str" cm="1">
        <f t="array" ref="F427">_xlfn.IFS(F426="","",G426=0,"",G426&lt;1,"",G426&lt;F426,G426,AND(G426&gt;0,$D$8&gt;0),$D$8+($M$3-(G426*calcs!$H$3)),G426&gt;0,$M$3-(G426*calcs!$H$3))</f>
        <v/>
      </c>
      <c r="G427" s="29" t="str" cm="1">
        <f t="array" ref="G427">_xlfn.IFS(F427="","",G426-F427&lt;1,0,ISBLANK(F427)=TRUE,"",G426-F427&gt;1,G426-F427)</f>
        <v/>
      </c>
      <c r="H427" s="33" t="str">
        <f t="shared" si="7"/>
        <v/>
      </c>
      <c r="I427" s="2" t="str" cm="1">
        <f t="array" ref="I427">_xlfn.IFS(OR(D427="",E427="",F427=""),"",MOD(D427,12)&lt;&gt;0,"",MOD(D427,12)=0,"Year End"&amp;" "&amp;D427/12)</f>
        <v/>
      </c>
      <c r="V427">
        <v>416</v>
      </c>
    </row>
    <row r="428" spans="4:22">
      <c r="D428" s="30" t="str">
        <f>IF(V428&lt;=calcs!$F$4,'Loan Calculator'!V428,"")</f>
        <v/>
      </c>
      <c r="E428" s="27" t="str" cm="1">
        <f t="array" ref="E428">_xlfn.IFS(F428="","",G427&lt;F427,G427*calcs!$H$3,$D$8&lt;=0,$M$3-F428,$D$8&gt;0,$M$3-F428+$D$8,G427&lt;F427,G428*calcs!$H$3)</f>
        <v/>
      </c>
      <c r="F428" s="27" t="str" cm="1">
        <f t="array" ref="F428">_xlfn.IFS(F427="","",G427=0,"",G427&lt;1,"",G427&lt;F427,G427,AND(G427&gt;0,$D$8&gt;0),$D$8+($M$3-(G427*calcs!$H$3)),G427&gt;0,$M$3-(G427*calcs!$H$3))</f>
        <v/>
      </c>
      <c r="G428" s="27" t="str" cm="1">
        <f t="array" ref="G428">_xlfn.IFS(F428="","",G427-F428&lt;1,0,ISBLANK(F428)=TRUE,"",G427-F428&gt;1,G427-F428)</f>
        <v/>
      </c>
      <c r="H428" s="31" t="str">
        <f t="shared" si="7"/>
        <v/>
      </c>
      <c r="I428" s="2" t="str" cm="1">
        <f t="array" ref="I428">_xlfn.IFS(OR(D428="",E428="",F428=""),"",MOD(D428,12)&lt;&gt;0,"",MOD(D428,12)=0,"Year End"&amp;" "&amp;D428/12)</f>
        <v/>
      </c>
      <c r="V428">
        <v>417</v>
      </c>
    </row>
    <row r="429" spans="4:22">
      <c r="D429" s="32" t="str">
        <f>IF(V429&lt;=calcs!$F$4,'Loan Calculator'!V429,"")</f>
        <v/>
      </c>
      <c r="E429" s="29" t="str" cm="1">
        <f t="array" ref="E429">_xlfn.IFS(F429="","",G428&lt;F428,G428*calcs!$H$3,$D$8&lt;=0,$M$3-F429,$D$8&gt;0,$M$3-F429+$D$8,G428&lt;F428,G429*calcs!$H$3)</f>
        <v/>
      </c>
      <c r="F429" s="29" t="str" cm="1">
        <f t="array" ref="F429">_xlfn.IFS(F428="","",G428=0,"",G428&lt;1,"",G428&lt;F428,G428,AND(G428&gt;0,$D$8&gt;0),$D$8+($M$3-(G428*calcs!$H$3)),G428&gt;0,$M$3-(G428*calcs!$H$3))</f>
        <v/>
      </c>
      <c r="G429" s="29" t="str" cm="1">
        <f t="array" ref="G429">_xlfn.IFS(F429="","",G428-F429&lt;1,0,ISBLANK(F429)=TRUE,"",G428-F429&gt;1,G428-F429)</f>
        <v/>
      </c>
      <c r="H429" s="33" t="str">
        <f t="shared" si="7"/>
        <v/>
      </c>
      <c r="I429" s="2" t="str" cm="1">
        <f t="array" ref="I429">_xlfn.IFS(OR(D429="",E429="",F429=""),"",MOD(D429,12)&lt;&gt;0,"",MOD(D429,12)=0,"Year End"&amp;" "&amp;D429/12)</f>
        <v/>
      </c>
      <c r="V429">
        <v>418</v>
      </c>
    </row>
    <row r="430" spans="4:22">
      <c r="D430" s="30" t="str">
        <f>IF(V430&lt;=calcs!$F$4,'Loan Calculator'!V430,"")</f>
        <v/>
      </c>
      <c r="E430" s="27" t="str" cm="1">
        <f t="array" ref="E430">_xlfn.IFS(F430="","",G429&lt;F429,G429*calcs!$H$3,$D$8&lt;=0,$M$3-F430,$D$8&gt;0,$M$3-F430+$D$8,G429&lt;F429,G430*calcs!$H$3)</f>
        <v/>
      </c>
      <c r="F430" s="27" t="str" cm="1">
        <f t="array" ref="F430">_xlfn.IFS(F429="","",G429=0,"",G429&lt;1,"",G429&lt;F429,G429,AND(G429&gt;0,$D$8&gt;0),$D$8+($M$3-(G429*calcs!$H$3)),G429&gt;0,$M$3-(G429*calcs!$H$3))</f>
        <v/>
      </c>
      <c r="G430" s="27" t="str" cm="1">
        <f t="array" ref="G430">_xlfn.IFS(F430="","",G429-F430&lt;1,0,ISBLANK(F430)=TRUE,"",G429-F430&gt;1,G429-F430)</f>
        <v/>
      </c>
      <c r="H430" s="31" t="str">
        <f t="shared" si="7"/>
        <v/>
      </c>
      <c r="I430" s="2" t="str" cm="1">
        <f t="array" ref="I430">_xlfn.IFS(OR(D430="",E430="",F430=""),"",MOD(D430,12)&lt;&gt;0,"",MOD(D430,12)=0,"Year End"&amp;" "&amp;D430/12)</f>
        <v/>
      </c>
      <c r="V430">
        <v>419</v>
      </c>
    </row>
    <row r="431" spans="4:22">
      <c r="D431" s="32" t="str">
        <f>IF(V431&lt;=calcs!$F$4,'Loan Calculator'!V431,"")</f>
        <v/>
      </c>
      <c r="E431" s="29" t="str" cm="1">
        <f t="array" ref="E431">_xlfn.IFS(F431="","",G430&lt;F430,G430*calcs!$H$3,$D$8&lt;=0,$M$3-F431,$D$8&gt;0,$M$3-F431+$D$8,G430&lt;F430,G431*calcs!$H$3)</f>
        <v/>
      </c>
      <c r="F431" s="29" t="str" cm="1">
        <f t="array" ref="F431">_xlfn.IFS(F430="","",G430=0,"",G430&lt;1,"",G430&lt;F430,G430,AND(G430&gt;0,$D$8&gt;0),$D$8+($M$3-(G430*calcs!$H$3)),G430&gt;0,$M$3-(G430*calcs!$H$3))</f>
        <v/>
      </c>
      <c r="G431" s="29" t="str" cm="1">
        <f t="array" ref="G431">_xlfn.IFS(F431="","",G430-F431&lt;1,0,ISBLANK(F431)=TRUE,"",G430-F431&gt;1,G430-F431)</f>
        <v/>
      </c>
      <c r="H431" s="33" t="str">
        <f t="shared" si="7"/>
        <v/>
      </c>
      <c r="I431" s="2" t="str" cm="1">
        <f t="array" ref="I431">_xlfn.IFS(OR(D431="",E431="",F431=""),"",MOD(D431,12)&lt;&gt;0,"",MOD(D431,12)=0,"Year End"&amp;" "&amp;D431/12)</f>
        <v/>
      </c>
      <c r="V431">
        <v>420</v>
      </c>
    </row>
    <row r="432" spans="4:22">
      <c r="D432" s="30" t="str">
        <f>IF(V432&lt;=calcs!$F$4,'Loan Calculator'!V432,"")</f>
        <v/>
      </c>
      <c r="E432" s="27" t="str" cm="1">
        <f t="array" ref="E432">_xlfn.IFS(F432="","",G431&lt;F431,G431*calcs!$H$3,$D$8&lt;=0,$M$3-F432,$D$8&gt;0,$M$3-F432+$D$8,G431&lt;F431,G432*calcs!$H$3)</f>
        <v/>
      </c>
      <c r="F432" s="27" t="str" cm="1">
        <f t="array" ref="F432">_xlfn.IFS(F431="","",G431=0,"",G431&lt;1,"",G431&lt;F431,G431,AND(G431&gt;0,$D$8&gt;0),$D$8+($M$3-(G431*calcs!$H$3)),G431&gt;0,$M$3-(G431*calcs!$H$3))</f>
        <v/>
      </c>
      <c r="G432" s="27" t="str" cm="1">
        <f t="array" ref="G432">_xlfn.IFS(F432="","",G431-F432&lt;1,0,ISBLANK(F432)=TRUE,"",G431-F432&gt;1,G431-F432)</f>
        <v/>
      </c>
      <c r="H432" s="31" t="str">
        <f t="shared" si="7"/>
        <v/>
      </c>
      <c r="I432" s="2" t="str" cm="1">
        <f t="array" ref="I432">_xlfn.IFS(OR(D432="",E432="",F432=""),"",MOD(D432,12)&lt;&gt;0,"",MOD(D432,12)=0,"Year End"&amp;" "&amp;D432/12)</f>
        <v/>
      </c>
      <c r="V432">
        <v>421</v>
      </c>
    </row>
    <row r="433" spans="4:22">
      <c r="D433" s="32" t="str">
        <f>IF(V433&lt;=calcs!$F$4,'Loan Calculator'!V433,"")</f>
        <v/>
      </c>
      <c r="E433" s="29" t="str" cm="1">
        <f t="array" ref="E433">_xlfn.IFS(F433="","",G432&lt;F432,G432*calcs!$H$3,$D$8&lt;=0,$M$3-F433,$D$8&gt;0,$M$3-F433+$D$8,G432&lt;F432,G433*calcs!$H$3)</f>
        <v/>
      </c>
      <c r="F433" s="29" t="str" cm="1">
        <f t="array" ref="F433">_xlfn.IFS(F432="","",G432=0,"",G432&lt;1,"",G432&lt;F432,G432,AND(G432&gt;0,$D$8&gt;0),$D$8+($M$3-(G432*calcs!$H$3)),G432&gt;0,$M$3-(G432*calcs!$H$3))</f>
        <v/>
      </c>
      <c r="G433" s="29" t="str" cm="1">
        <f t="array" ref="G433">_xlfn.IFS(F433="","",G432-F433&lt;1,0,ISBLANK(F433)=TRUE,"",G432-F433&gt;1,G432-F433)</f>
        <v/>
      </c>
      <c r="H433" s="33" t="str">
        <f t="shared" si="7"/>
        <v/>
      </c>
      <c r="I433" s="2" t="str" cm="1">
        <f t="array" ref="I433">_xlfn.IFS(OR(D433="",E433="",F433=""),"",MOD(D433,12)&lt;&gt;0,"",MOD(D433,12)=0,"Year End"&amp;" "&amp;D433/12)</f>
        <v/>
      </c>
      <c r="V433">
        <v>422</v>
      </c>
    </row>
    <row r="434" spans="4:22">
      <c r="D434" s="30" t="str">
        <f>IF(V434&lt;=calcs!$F$4,'Loan Calculator'!V434,"")</f>
        <v/>
      </c>
      <c r="E434" s="27" t="str" cm="1">
        <f t="array" ref="E434">_xlfn.IFS(F434="","",G433&lt;F433,G433*calcs!$H$3,$D$8&lt;=0,$M$3-F434,$D$8&gt;0,$M$3-F434+$D$8,G433&lt;F433,G434*calcs!$H$3)</f>
        <v/>
      </c>
      <c r="F434" s="27" t="str" cm="1">
        <f t="array" ref="F434">_xlfn.IFS(F433="","",G433=0,"",G433&lt;1,"",G433&lt;F433,G433,AND(G433&gt;0,$D$8&gt;0),$D$8+($M$3-(G433*calcs!$H$3)),G433&gt;0,$M$3-(G433*calcs!$H$3))</f>
        <v/>
      </c>
      <c r="G434" s="27" t="str" cm="1">
        <f t="array" ref="G434">_xlfn.IFS(F434="","",G433-F434&lt;1,0,ISBLANK(F434)=TRUE,"",G433-F434&gt;1,G433-F434)</f>
        <v/>
      </c>
      <c r="H434" s="31" t="str">
        <f t="shared" si="7"/>
        <v/>
      </c>
      <c r="I434" s="2" t="str" cm="1">
        <f t="array" ref="I434">_xlfn.IFS(OR(D434="",E434="",F434=""),"",MOD(D434,12)&lt;&gt;0,"",MOD(D434,12)=0,"Year End"&amp;" "&amp;D434/12)</f>
        <v/>
      </c>
      <c r="V434">
        <v>423</v>
      </c>
    </row>
    <row r="435" spans="4:22">
      <c r="D435" s="32" t="str">
        <f>IF(V435&lt;=calcs!$F$4,'Loan Calculator'!V435,"")</f>
        <v/>
      </c>
      <c r="E435" s="29" t="str" cm="1">
        <f t="array" ref="E435">_xlfn.IFS(F435="","",G434&lt;F434,G434*calcs!$H$3,$D$8&lt;=0,$M$3-F435,$D$8&gt;0,$M$3-F435+$D$8,G434&lt;F434,G435*calcs!$H$3)</f>
        <v/>
      </c>
      <c r="F435" s="29" t="str" cm="1">
        <f t="array" ref="F435">_xlfn.IFS(F434="","",G434=0,"",G434&lt;1,"",G434&lt;F434,G434,AND(G434&gt;0,$D$8&gt;0),$D$8+($M$3-(G434*calcs!$H$3)),G434&gt;0,$M$3-(G434*calcs!$H$3))</f>
        <v/>
      </c>
      <c r="G435" s="29" t="str" cm="1">
        <f t="array" ref="G435">_xlfn.IFS(F435="","",G434-F435&lt;1,0,ISBLANK(F435)=TRUE,"",G434-F435&gt;1,G434-F435)</f>
        <v/>
      </c>
      <c r="H435" s="33" t="str">
        <f t="shared" si="7"/>
        <v/>
      </c>
      <c r="I435" s="2" t="str" cm="1">
        <f t="array" ref="I435">_xlfn.IFS(OR(D435="",E435="",F435=""),"",MOD(D435,12)&lt;&gt;0,"",MOD(D435,12)=0,"Year End"&amp;" "&amp;D435/12)</f>
        <v/>
      </c>
      <c r="V435">
        <v>424</v>
      </c>
    </row>
    <row r="436" spans="4:22">
      <c r="D436" s="30" t="str">
        <f>IF(V436&lt;=calcs!$F$4,'Loan Calculator'!V436,"")</f>
        <v/>
      </c>
      <c r="E436" s="27" t="str" cm="1">
        <f t="array" ref="E436">_xlfn.IFS(F436="","",G435&lt;F435,G435*calcs!$H$3,$D$8&lt;=0,$M$3-F436,$D$8&gt;0,$M$3-F436+$D$8,G435&lt;F435,G436*calcs!$H$3)</f>
        <v/>
      </c>
      <c r="F436" s="27" t="str" cm="1">
        <f t="array" ref="F436">_xlfn.IFS(F435="","",G435=0,"",G435&lt;1,"",G435&lt;F435,G435,AND(G435&gt;0,$D$8&gt;0),$D$8+($M$3-(G435*calcs!$H$3)),G435&gt;0,$M$3-(G435*calcs!$H$3))</f>
        <v/>
      </c>
      <c r="G436" s="27" t="str" cm="1">
        <f t="array" ref="G436">_xlfn.IFS(F436="","",G435-F436&lt;1,0,ISBLANK(F436)=TRUE,"",G435-F436&gt;1,G435-F436)</f>
        <v/>
      </c>
      <c r="H436" s="31" t="str">
        <f t="shared" si="7"/>
        <v/>
      </c>
      <c r="I436" s="2" t="str" cm="1">
        <f t="array" ref="I436">_xlfn.IFS(OR(D436="",E436="",F436=""),"",MOD(D436,12)&lt;&gt;0,"",MOD(D436,12)=0,"Year End"&amp;" "&amp;D436/12)</f>
        <v/>
      </c>
      <c r="V436">
        <v>425</v>
      </c>
    </row>
    <row r="437" spans="4:22">
      <c r="D437" s="32" t="str">
        <f>IF(V437&lt;=calcs!$F$4,'Loan Calculator'!V437,"")</f>
        <v/>
      </c>
      <c r="E437" s="29" t="str" cm="1">
        <f t="array" ref="E437">_xlfn.IFS(F437="","",G436&lt;F436,G436*calcs!$H$3,$D$8&lt;=0,$M$3-F437,$D$8&gt;0,$M$3-F437+$D$8,G436&lt;F436,G437*calcs!$H$3)</f>
        <v/>
      </c>
      <c r="F437" s="29" t="str" cm="1">
        <f t="array" ref="F437">_xlfn.IFS(F436="","",G436=0,"",G436&lt;1,"",G436&lt;F436,G436,AND(G436&gt;0,$D$8&gt;0),$D$8+($M$3-(G436*calcs!$H$3)),G436&gt;0,$M$3-(G436*calcs!$H$3))</f>
        <v/>
      </c>
      <c r="G437" s="29" t="str" cm="1">
        <f t="array" ref="G437">_xlfn.IFS(F437="","",G436-F437&lt;1,0,ISBLANK(F437)=TRUE,"",G436-F437&gt;1,G436-F437)</f>
        <v/>
      </c>
      <c r="H437" s="33" t="str">
        <f t="shared" si="7"/>
        <v/>
      </c>
      <c r="I437" s="2" t="str" cm="1">
        <f t="array" ref="I437">_xlfn.IFS(OR(D437="",E437="",F437=""),"",MOD(D437,12)&lt;&gt;0,"",MOD(D437,12)=0,"Year End"&amp;" "&amp;D437/12)</f>
        <v/>
      </c>
      <c r="V437">
        <v>426</v>
      </c>
    </row>
    <row r="438" spans="4:22">
      <c r="D438" s="30" t="str">
        <f>IF(V438&lt;=calcs!$F$4,'Loan Calculator'!V438,"")</f>
        <v/>
      </c>
      <c r="E438" s="27" t="str" cm="1">
        <f t="array" ref="E438">_xlfn.IFS(F438="","",G437&lt;F437,G437*calcs!$H$3,$D$8&lt;=0,$M$3-F438,$D$8&gt;0,$M$3-F438+$D$8,G437&lt;F437,G438*calcs!$H$3)</f>
        <v/>
      </c>
      <c r="F438" s="27" t="str" cm="1">
        <f t="array" ref="F438">_xlfn.IFS(F437="","",G437=0,"",G437&lt;1,"",G437&lt;F437,G437,AND(G437&gt;0,$D$8&gt;0),$D$8+($M$3-(G437*calcs!$H$3)),G437&gt;0,$M$3-(G437*calcs!$H$3))</f>
        <v/>
      </c>
      <c r="G438" s="27" t="str" cm="1">
        <f t="array" ref="G438">_xlfn.IFS(F438="","",G437-F438&lt;1,0,ISBLANK(F438)=TRUE,"",G437-F438&gt;1,G437-F438)</f>
        <v/>
      </c>
      <c r="H438" s="31" t="str">
        <f t="shared" si="7"/>
        <v/>
      </c>
      <c r="I438" s="2" t="str" cm="1">
        <f t="array" ref="I438">_xlfn.IFS(OR(D438="",E438="",F438=""),"",MOD(D438,12)&lt;&gt;0,"",MOD(D438,12)=0,"Year End"&amp;" "&amp;D438/12)</f>
        <v/>
      </c>
      <c r="V438">
        <v>427</v>
      </c>
    </row>
    <row r="439" spans="4:22">
      <c r="D439" s="32" t="str">
        <f>IF(V439&lt;=calcs!$F$4,'Loan Calculator'!V439,"")</f>
        <v/>
      </c>
      <c r="E439" s="29" t="str" cm="1">
        <f t="array" ref="E439">_xlfn.IFS(F439="","",G438&lt;F438,G438*calcs!$H$3,$D$8&lt;=0,$M$3-F439,$D$8&gt;0,$M$3-F439+$D$8,G438&lt;F438,G439*calcs!$H$3)</f>
        <v/>
      </c>
      <c r="F439" s="29" t="str" cm="1">
        <f t="array" ref="F439">_xlfn.IFS(F438="","",G438=0,"",G438&lt;1,"",G438&lt;F438,G438,AND(G438&gt;0,$D$8&gt;0),$D$8+($M$3-(G438*calcs!$H$3)),G438&gt;0,$M$3-(G438*calcs!$H$3))</f>
        <v/>
      </c>
      <c r="G439" s="29" t="str" cm="1">
        <f t="array" ref="G439">_xlfn.IFS(F439="","",G438-F439&lt;1,0,ISBLANK(F439)=TRUE,"",G438-F439&gt;1,G438-F439)</f>
        <v/>
      </c>
      <c r="H439" s="33" t="str">
        <f t="shared" si="7"/>
        <v/>
      </c>
      <c r="I439" s="2" t="str" cm="1">
        <f t="array" ref="I439">_xlfn.IFS(OR(D439="",E439="",F439=""),"",MOD(D439,12)&lt;&gt;0,"",MOD(D439,12)=0,"Year End"&amp;" "&amp;D439/12)</f>
        <v/>
      </c>
      <c r="V439">
        <v>428</v>
      </c>
    </row>
    <row r="440" spans="4:22">
      <c r="D440" s="30" t="str">
        <f>IF(V440&lt;=calcs!$F$4,'Loan Calculator'!V440,"")</f>
        <v/>
      </c>
      <c r="E440" s="27" t="str" cm="1">
        <f t="array" ref="E440">_xlfn.IFS(F440="","",G439&lt;F439,G439*calcs!$H$3,$D$8&lt;=0,$M$3-F440,$D$8&gt;0,$M$3-F440+$D$8,G439&lt;F439,G440*calcs!$H$3)</f>
        <v/>
      </c>
      <c r="F440" s="27" t="str" cm="1">
        <f t="array" ref="F440">_xlfn.IFS(F439="","",G439=0,"",G439&lt;1,"",G439&lt;F439,G439,AND(G439&gt;0,$D$8&gt;0),$D$8+($M$3-(G439*calcs!$H$3)),G439&gt;0,$M$3-(G439*calcs!$H$3))</f>
        <v/>
      </c>
      <c r="G440" s="27" t="str" cm="1">
        <f t="array" ref="G440">_xlfn.IFS(F440="","",G439-F440&lt;1,0,ISBLANK(F440)=TRUE,"",G439-F440&gt;1,G439-F440)</f>
        <v/>
      </c>
      <c r="H440" s="31" t="str">
        <f t="shared" si="7"/>
        <v/>
      </c>
      <c r="I440" s="2" t="str" cm="1">
        <f t="array" ref="I440">_xlfn.IFS(OR(D440="",E440="",F440=""),"",MOD(D440,12)&lt;&gt;0,"",MOD(D440,12)=0,"Year End"&amp;" "&amp;D440/12)</f>
        <v/>
      </c>
      <c r="V440">
        <v>429</v>
      </c>
    </row>
    <row r="441" spans="4:22">
      <c r="D441" s="32" t="str">
        <f>IF(V441&lt;=calcs!$F$4,'Loan Calculator'!V441,"")</f>
        <v/>
      </c>
      <c r="E441" s="29" t="str" cm="1">
        <f t="array" ref="E441">_xlfn.IFS(F441="","",G440&lt;F440,G440*calcs!$H$3,$D$8&lt;=0,$M$3-F441,$D$8&gt;0,$M$3-F441+$D$8,G440&lt;F440,G441*calcs!$H$3)</f>
        <v/>
      </c>
      <c r="F441" s="29" t="str" cm="1">
        <f t="array" ref="F441">_xlfn.IFS(F440="","",G440=0,"",G440&lt;1,"",G440&lt;F440,G440,AND(G440&gt;0,$D$8&gt;0),$D$8+($M$3-(G440*calcs!$H$3)),G440&gt;0,$M$3-(G440*calcs!$H$3))</f>
        <v/>
      </c>
      <c r="G441" s="29" t="str" cm="1">
        <f t="array" ref="G441">_xlfn.IFS(F441="","",G440-F441&lt;1,0,ISBLANK(F441)=TRUE,"",G440-F441&gt;1,G440-F441)</f>
        <v/>
      </c>
      <c r="H441" s="33" t="str">
        <f t="shared" si="7"/>
        <v/>
      </c>
      <c r="I441" s="2" t="str" cm="1">
        <f t="array" ref="I441">_xlfn.IFS(OR(D441="",E441="",F441=""),"",MOD(D441,12)&lt;&gt;0,"",MOD(D441,12)=0,"Year End"&amp;" "&amp;D441/12)</f>
        <v/>
      </c>
      <c r="V441">
        <v>430</v>
      </c>
    </row>
    <row r="442" spans="4:22">
      <c r="D442" s="30" t="str">
        <f>IF(V442&lt;=calcs!$F$4,'Loan Calculator'!V442,"")</f>
        <v/>
      </c>
      <c r="E442" s="27" t="str" cm="1">
        <f t="array" ref="E442">_xlfn.IFS(F442="","",G441&lt;F441,G441*calcs!$H$3,$D$8&lt;=0,$M$3-F442,$D$8&gt;0,$M$3-F442+$D$8,G441&lt;F441,G442*calcs!$H$3)</f>
        <v/>
      </c>
      <c r="F442" s="27" t="str" cm="1">
        <f t="array" ref="F442">_xlfn.IFS(F441="","",G441=0,"",G441&lt;1,"",G441&lt;F441,G441,AND(G441&gt;0,$D$8&gt;0),$D$8+($M$3-(G441*calcs!$H$3)),G441&gt;0,$M$3-(G441*calcs!$H$3))</f>
        <v/>
      </c>
      <c r="G442" s="27" t="str" cm="1">
        <f t="array" ref="G442">_xlfn.IFS(F442="","",G441-F442&lt;1,0,ISBLANK(F442)=TRUE,"",G441-F442&gt;1,G441-F442)</f>
        <v/>
      </c>
      <c r="H442" s="31" t="str">
        <f t="shared" si="7"/>
        <v/>
      </c>
      <c r="I442" s="2" t="str" cm="1">
        <f t="array" ref="I442">_xlfn.IFS(OR(D442="",E442="",F442=""),"",MOD(D442,12)&lt;&gt;0,"",MOD(D442,12)=0,"Year End"&amp;" "&amp;D442/12)</f>
        <v/>
      </c>
      <c r="V442">
        <v>431</v>
      </c>
    </row>
    <row r="443" spans="4:22">
      <c r="D443" s="32" t="str">
        <f>IF(V443&lt;=calcs!$F$4,'Loan Calculator'!V443,"")</f>
        <v/>
      </c>
      <c r="E443" s="29" t="str" cm="1">
        <f t="array" ref="E443">_xlfn.IFS(F443="","",G442&lt;F442,G442*calcs!$H$3,$D$8&lt;=0,$M$3-F443,$D$8&gt;0,$M$3-F443+$D$8,G442&lt;F442,G443*calcs!$H$3)</f>
        <v/>
      </c>
      <c r="F443" s="29" t="str" cm="1">
        <f t="array" ref="F443">_xlfn.IFS(F442="","",G442=0,"",G442&lt;1,"",G442&lt;F442,G442,AND(G442&gt;0,$D$8&gt;0),$D$8+($M$3-(G442*calcs!$H$3)),G442&gt;0,$M$3-(G442*calcs!$H$3))</f>
        <v/>
      </c>
      <c r="G443" s="29" t="str" cm="1">
        <f t="array" ref="G443">_xlfn.IFS(F443="","",G442-F443&lt;1,0,ISBLANK(F443)=TRUE,"",G442-F443&gt;1,G442-F443)</f>
        <v/>
      </c>
      <c r="H443" s="33" t="str">
        <f t="shared" si="7"/>
        <v/>
      </c>
      <c r="I443" s="2" t="str" cm="1">
        <f t="array" ref="I443">_xlfn.IFS(OR(D443="",E443="",F443=""),"",MOD(D443,12)&lt;&gt;0,"",MOD(D443,12)=0,"Year End"&amp;" "&amp;D443/12)</f>
        <v/>
      </c>
      <c r="V443">
        <v>432</v>
      </c>
    </row>
    <row r="444" spans="4:22">
      <c r="D444" s="30" t="str">
        <f>IF(V444&lt;=calcs!$F$4,'Loan Calculator'!V444,"")</f>
        <v/>
      </c>
      <c r="E444" s="27" t="str" cm="1">
        <f t="array" ref="E444">_xlfn.IFS(F444="","",G443&lt;F443,G443*calcs!$H$3,$D$8&lt;=0,$M$3-F444,$D$8&gt;0,$M$3-F444+$D$8,G443&lt;F443,G444*calcs!$H$3)</f>
        <v/>
      </c>
      <c r="F444" s="27" t="str" cm="1">
        <f t="array" ref="F444">_xlfn.IFS(F443="","",G443=0,"",G443&lt;1,"",G443&lt;F443,G443,AND(G443&gt;0,$D$8&gt;0),$D$8+($M$3-(G443*calcs!$H$3)),G443&gt;0,$M$3-(G443*calcs!$H$3))</f>
        <v/>
      </c>
      <c r="G444" s="27" t="str" cm="1">
        <f t="array" ref="G444">_xlfn.IFS(F444="","",G443-F444&lt;1,0,ISBLANK(F444)=TRUE,"",G443-F444&gt;1,G443-F444)</f>
        <v/>
      </c>
      <c r="H444" s="31" t="str">
        <f t="shared" si="7"/>
        <v/>
      </c>
      <c r="I444" s="2" t="str" cm="1">
        <f t="array" ref="I444">_xlfn.IFS(OR(D444="",E444="",F444=""),"",MOD(D444,12)&lt;&gt;0,"",MOD(D444,12)=0,"Year End"&amp;" "&amp;D444/12)</f>
        <v/>
      </c>
      <c r="V444">
        <v>433</v>
      </c>
    </row>
    <row r="445" spans="4:22">
      <c r="D445" s="32" t="str">
        <f>IF(V445&lt;=calcs!$F$4,'Loan Calculator'!V445,"")</f>
        <v/>
      </c>
      <c r="E445" s="29" t="str" cm="1">
        <f t="array" ref="E445">_xlfn.IFS(F445="","",G444&lt;F444,G444*calcs!$H$3,$D$8&lt;=0,$M$3-F445,$D$8&gt;0,$M$3-F445+$D$8,G444&lt;F444,G445*calcs!$H$3)</f>
        <v/>
      </c>
      <c r="F445" s="29" t="str" cm="1">
        <f t="array" ref="F445">_xlfn.IFS(F444="","",G444=0,"",G444&lt;1,"",G444&lt;F444,G444,AND(G444&gt;0,$D$8&gt;0),$D$8+($M$3-(G444*calcs!$H$3)),G444&gt;0,$M$3-(G444*calcs!$H$3))</f>
        <v/>
      </c>
      <c r="G445" s="29" t="str" cm="1">
        <f t="array" ref="G445">_xlfn.IFS(F445="","",G444-F445&lt;1,0,ISBLANK(F445)=TRUE,"",G444-F445&gt;1,G444-F445)</f>
        <v/>
      </c>
      <c r="H445" s="33" t="str">
        <f t="shared" si="7"/>
        <v/>
      </c>
      <c r="I445" s="2" t="str" cm="1">
        <f t="array" ref="I445">_xlfn.IFS(OR(D445="",E445="",F445=""),"",MOD(D445,12)&lt;&gt;0,"",MOD(D445,12)=0,"Year End"&amp;" "&amp;D445/12)</f>
        <v/>
      </c>
      <c r="V445">
        <v>434</v>
      </c>
    </row>
    <row r="446" spans="4:22">
      <c r="D446" s="30" t="str">
        <f>IF(V446&lt;=calcs!$F$4,'Loan Calculator'!V446,"")</f>
        <v/>
      </c>
      <c r="E446" s="27" t="str" cm="1">
        <f t="array" ref="E446">_xlfn.IFS(F446="","",G445&lt;F445,G445*calcs!$H$3,$D$8&lt;=0,$M$3-F446,$D$8&gt;0,$M$3-F446+$D$8,G445&lt;F445,G446*calcs!$H$3)</f>
        <v/>
      </c>
      <c r="F446" s="27" t="str" cm="1">
        <f t="array" ref="F446">_xlfn.IFS(F445="","",G445=0,"",G445&lt;1,"",G445&lt;F445,G445,AND(G445&gt;0,$D$8&gt;0),$D$8+($M$3-(G445*calcs!$H$3)),G445&gt;0,$M$3-(G445*calcs!$H$3))</f>
        <v/>
      </c>
      <c r="G446" s="27" t="str" cm="1">
        <f t="array" ref="G446">_xlfn.IFS(F446="","",G445-F446&lt;1,0,ISBLANK(F446)=TRUE,"",G445-F446&gt;1,G445-F446)</f>
        <v/>
      </c>
      <c r="H446" s="31" t="str">
        <f t="shared" si="7"/>
        <v/>
      </c>
      <c r="I446" s="2" t="str" cm="1">
        <f t="array" ref="I446">_xlfn.IFS(OR(D446="",E446="",F446=""),"",MOD(D446,12)&lt;&gt;0,"",MOD(D446,12)=0,"Year End"&amp;" "&amp;D446/12)</f>
        <v/>
      </c>
      <c r="V446">
        <v>435</v>
      </c>
    </row>
    <row r="447" spans="4:22">
      <c r="D447" s="32" t="str">
        <f>IF(V447&lt;=calcs!$F$4,'Loan Calculator'!V447,"")</f>
        <v/>
      </c>
      <c r="E447" s="29" t="str" cm="1">
        <f t="array" ref="E447">_xlfn.IFS(F447="","",G446&lt;F446,G446*calcs!$H$3,$D$8&lt;=0,$M$3-F447,$D$8&gt;0,$M$3-F447+$D$8,G446&lt;F446,G447*calcs!$H$3)</f>
        <v/>
      </c>
      <c r="F447" s="29" t="str" cm="1">
        <f t="array" ref="F447">_xlfn.IFS(F446="","",G446=0,"",G446&lt;1,"",G446&lt;F446,G446,AND(G446&gt;0,$D$8&gt;0),$D$8+($M$3-(G446*calcs!$H$3)),G446&gt;0,$M$3-(G446*calcs!$H$3))</f>
        <v/>
      </c>
      <c r="G447" s="29" t="str" cm="1">
        <f t="array" ref="G447">_xlfn.IFS(F447="","",G446-F447&lt;1,0,ISBLANK(F447)=TRUE,"",G446-F447&gt;1,G446-F447)</f>
        <v/>
      </c>
      <c r="H447" s="33" t="str">
        <f t="shared" si="7"/>
        <v/>
      </c>
      <c r="I447" s="2" t="str" cm="1">
        <f t="array" ref="I447">_xlfn.IFS(OR(D447="",E447="",F447=""),"",MOD(D447,12)&lt;&gt;0,"",MOD(D447,12)=0,"Year End"&amp;" "&amp;D447/12)</f>
        <v/>
      </c>
      <c r="V447">
        <v>436</v>
      </c>
    </row>
    <row r="448" spans="4:22">
      <c r="D448" s="30" t="str">
        <f>IF(V448&lt;=calcs!$F$4,'Loan Calculator'!V448,"")</f>
        <v/>
      </c>
      <c r="E448" s="27" t="str" cm="1">
        <f t="array" ref="E448">_xlfn.IFS(F448="","",G447&lt;F447,G447*calcs!$H$3,$D$8&lt;=0,$M$3-F448,$D$8&gt;0,$M$3-F448+$D$8,G447&lt;F447,G448*calcs!$H$3)</f>
        <v/>
      </c>
      <c r="F448" s="27" t="str" cm="1">
        <f t="array" ref="F448">_xlfn.IFS(F447="","",G447=0,"",G447&lt;1,"",G447&lt;F447,G447,AND(G447&gt;0,$D$8&gt;0),$D$8+($M$3-(G447*calcs!$H$3)),G447&gt;0,$M$3-(G447*calcs!$H$3))</f>
        <v/>
      </c>
      <c r="G448" s="27" t="str" cm="1">
        <f t="array" ref="G448">_xlfn.IFS(F448="","",G447-F448&lt;1,0,ISBLANK(F448)=TRUE,"",G447-F448&gt;1,G447-F448)</f>
        <v/>
      </c>
      <c r="H448" s="31" t="str">
        <f t="shared" si="7"/>
        <v/>
      </c>
      <c r="I448" s="2" t="str" cm="1">
        <f t="array" ref="I448">_xlfn.IFS(OR(D448="",E448="",F448=""),"",MOD(D448,12)&lt;&gt;0,"",MOD(D448,12)=0,"Year End"&amp;" "&amp;D448/12)</f>
        <v/>
      </c>
      <c r="V448">
        <v>437</v>
      </c>
    </row>
    <row r="449" spans="4:22">
      <c r="D449" s="32" t="str">
        <f>IF(V449&lt;=calcs!$F$4,'Loan Calculator'!V449,"")</f>
        <v/>
      </c>
      <c r="E449" s="29" t="str" cm="1">
        <f t="array" ref="E449">_xlfn.IFS(F449="","",G448&lt;F448,G448*calcs!$H$3,$D$8&lt;=0,$M$3-F449,$D$8&gt;0,$M$3-F449+$D$8,G448&lt;F448,G449*calcs!$H$3)</f>
        <v/>
      </c>
      <c r="F449" s="29" t="str" cm="1">
        <f t="array" ref="F449">_xlfn.IFS(F448="","",G448=0,"",G448&lt;1,"",G448&lt;F448,G448,AND(G448&gt;0,$D$8&gt;0),$D$8+($M$3-(G448*calcs!$H$3)),G448&gt;0,$M$3-(G448*calcs!$H$3))</f>
        <v/>
      </c>
      <c r="G449" s="29" t="str" cm="1">
        <f t="array" ref="G449">_xlfn.IFS(F449="","",G448-F449&lt;1,0,ISBLANK(F449)=TRUE,"",G448-F449&gt;1,G448-F449)</f>
        <v/>
      </c>
      <c r="H449" s="33" t="str">
        <f t="shared" si="7"/>
        <v/>
      </c>
      <c r="I449" s="2" t="str" cm="1">
        <f t="array" ref="I449">_xlfn.IFS(OR(D449="",E449="",F449=""),"",MOD(D449,12)&lt;&gt;0,"",MOD(D449,12)=0,"Year End"&amp;" "&amp;D449/12)</f>
        <v/>
      </c>
      <c r="V449">
        <v>438</v>
      </c>
    </row>
    <row r="450" spans="4:22">
      <c r="D450" s="30" t="str">
        <f>IF(V450&lt;=calcs!$F$4,'Loan Calculator'!V450,"")</f>
        <v/>
      </c>
      <c r="E450" s="27" t="str" cm="1">
        <f t="array" ref="E450">_xlfn.IFS(F450="","",G449&lt;F449,G449*calcs!$H$3,$D$8&lt;=0,$M$3-F450,$D$8&gt;0,$M$3-F450+$D$8,G449&lt;F449,G450*calcs!$H$3)</f>
        <v/>
      </c>
      <c r="F450" s="27" t="str" cm="1">
        <f t="array" ref="F450">_xlfn.IFS(F449="","",G449=0,"",G449&lt;1,"",G449&lt;F449,G449,AND(G449&gt;0,$D$8&gt;0),$D$8+($M$3-(G449*calcs!$H$3)),G449&gt;0,$M$3-(G449*calcs!$H$3))</f>
        <v/>
      </c>
      <c r="G450" s="27" t="str" cm="1">
        <f t="array" ref="G450">_xlfn.IFS(F450="","",G449-F450&lt;1,0,ISBLANK(F450)=TRUE,"",G449-F450&gt;1,G449-F450)</f>
        <v/>
      </c>
      <c r="H450" s="31" t="str">
        <f t="shared" si="7"/>
        <v/>
      </c>
      <c r="I450" s="2" t="str" cm="1">
        <f t="array" ref="I450">_xlfn.IFS(OR(D450="",E450="",F450=""),"",MOD(D450,12)&lt;&gt;0,"",MOD(D450,12)=0,"Year End"&amp;" "&amp;D450/12)</f>
        <v/>
      </c>
      <c r="V450">
        <v>439</v>
      </c>
    </row>
    <row r="451" spans="4:22">
      <c r="D451" s="32" t="str">
        <f>IF(V451&lt;=calcs!$F$4,'Loan Calculator'!V451,"")</f>
        <v/>
      </c>
      <c r="E451" s="29" t="str" cm="1">
        <f t="array" ref="E451">_xlfn.IFS(F451="","",G450&lt;F450,G450*calcs!$H$3,$D$8&lt;=0,$M$3-F451,$D$8&gt;0,$M$3-F451+$D$8,G450&lt;F450,G451*calcs!$H$3)</f>
        <v/>
      </c>
      <c r="F451" s="29" t="str" cm="1">
        <f t="array" ref="F451">_xlfn.IFS(F450="","",G450=0,"",G450&lt;1,"",G450&lt;F450,G450,AND(G450&gt;0,$D$8&gt;0),$D$8+($M$3-(G450*calcs!$H$3)),G450&gt;0,$M$3-(G450*calcs!$H$3))</f>
        <v/>
      </c>
      <c r="G451" s="29" t="str" cm="1">
        <f t="array" ref="G451">_xlfn.IFS(F451="","",G450-F451&lt;1,0,ISBLANK(F451)=TRUE,"",G450-F451&gt;1,G450-F451)</f>
        <v/>
      </c>
      <c r="H451" s="33" t="str">
        <f t="shared" si="7"/>
        <v/>
      </c>
      <c r="I451" s="2" t="str" cm="1">
        <f t="array" ref="I451">_xlfn.IFS(OR(D451="",E451="",F451=""),"",MOD(D451,12)&lt;&gt;0,"",MOD(D451,12)=0,"Year End"&amp;" "&amp;D451/12)</f>
        <v/>
      </c>
      <c r="V451">
        <v>440</v>
      </c>
    </row>
    <row r="452" spans="4:22">
      <c r="D452" s="30" t="str">
        <f>IF(V452&lt;=calcs!$F$4,'Loan Calculator'!V452,"")</f>
        <v/>
      </c>
      <c r="E452" s="27" t="str" cm="1">
        <f t="array" ref="E452">_xlfn.IFS(F452="","",G451&lt;F451,G451*calcs!$H$3,$D$8&lt;=0,$M$3-F452,$D$8&gt;0,$M$3-F452+$D$8,G451&lt;F451,G452*calcs!$H$3)</f>
        <v/>
      </c>
      <c r="F452" s="27" t="str" cm="1">
        <f t="array" ref="F452">_xlfn.IFS(F451="","",G451=0,"",G451&lt;1,"",G451&lt;F451,G451,AND(G451&gt;0,$D$8&gt;0),$D$8+($M$3-(G451*calcs!$H$3)),G451&gt;0,$M$3-(G451*calcs!$H$3))</f>
        <v/>
      </c>
      <c r="G452" s="27" t="str" cm="1">
        <f t="array" ref="G452">_xlfn.IFS(F452="","",G451-F452&lt;1,0,ISBLANK(F452)=TRUE,"",G451-F452&gt;1,G451-F452)</f>
        <v/>
      </c>
      <c r="H452" s="31" t="str">
        <f t="shared" si="7"/>
        <v/>
      </c>
      <c r="I452" s="2" t="str" cm="1">
        <f t="array" ref="I452">_xlfn.IFS(OR(D452="",E452="",F452=""),"",MOD(D452,12)&lt;&gt;0,"",MOD(D452,12)=0,"Year End"&amp;" "&amp;D452/12)</f>
        <v/>
      </c>
      <c r="V452">
        <v>441</v>
      </c>
    </row>
    <row r="453" spans="4:22">
      <c r="D453" s="32" t="str">
        <f>IF(V453&lt;=calcs!$F$4,'Loan Calculator'!V453,"")</f>
        <v/>
      </c>
      <c r="E453" s="29" t="str" cm="1">
        <f t="array" ref="E453">_xlfn.IFS(F453="","",G452&lt;F452,G452*calcs!$H$3,$D$8&lt;=0,$M$3-F453,$D$8&gt;0,$M$3-F453+$D$8,G452&lt;F452,G453*calcs!$H$3)</f>
        <v/>
      </c>
      <c r="F453" s="29" t="str" cm="1">
        <f t="array" ref="F453">_xlfn.IFS(F452="","",G452=0,"",G452&lt;1,"",G452&lt;F452,G452,AND(G452&gt;0,$D$8&gt;0),$D$8+($M$3-(G452*calcs!$H$3)),G452&gt;0,$M$3-(G452*calcs!$H$3))</f>
        <v/>
      </c>
      <c r="G453" s="29" t="str" cm="1">
        <f t="array" ref="G453">_xlfn.IFS(F453="","",G452-F453&lt;1,0,ISBLANK(F453)=TRUE,"",G452-F453&gt;1,G452-F453)</f>
        <v/>
      </c>
      <c r="H453" s="33" t="str">
        <f t="shared" si="7"/>
        <v/>
      </c>
      <c r="I453" s="2" t="str" cm="1">
        <f t="array" ref="I453">_xlfn.IFS(OR(D453="",E453="",F453=""),"",MOD(D453,12)&lt;&gt;0,"",MOD(D453,12)=0,"Year End"&amp;" "&amp;D453/12)</f>
        <v/>
      </c>
      <c r="V453">
        <v>442</v>
      </c>
    </row>
    <row r="454" spans="4:22">
      <c r="D454" s="30" t="str">
        <f>IF(V454&lt;=calcs!$F$4,'Loan Calculator'!V454,"")</f>
        <v/>
      </c>
      <c r="E454" s="27" t="str" cm="1">
        <f t="array" ref="E454">_xlfn.IFS(F454="","",G453&lt;F453,G453*calcs!$H$3,$D$8&lt;=0,$M$3-F454,$D$8&gt;0,$M$3-F454+$D$8,G453&lt;F453,G454*calcs!$H$3)</f>
        <v/>
      </c>
      <c r="F454" s="27" t="str" cm="1">
        <f t="array" ref="F454">_xlfn.IFS(F453="","",G453=0,"",G453&lt;1,"",G453&lt;F453,G453,AND(G453&gt;0,$D$8&gt;0),$D$8+($M$3-(G453*calcs!$H$3)),G453&gt;0,$M$3-(G453*calcs!$H$3))</f>
        <v/>
      </c>
      <c r="G454" s="27" t="str" cm="1">
        <f t="array" ref="G454">_xlfn.IFS(F454="","",G453-F454&lt;1,0,ISBLANK(F454)=TRUE,"",G453-F454&gt;1,G453-F454)</f>
        <v/>
      </c>
      <c r="H454" s="31" t="str">
        <f t="shared" si="7"/>
        <v/>
      </c>
      <c r="I454" s="2" t="str" cm="1">
        <f t="array" ref="I454">_xlfn.IFS(OR(D454="",E454="",F454=""),"",MOD(D454,12)&lt;&gt;0,"",MOD(D454,12)=0,"Year End"&amp;" "&amp;D454/12)</f>
        <v/>
      </c>
      <c r="V454">
        <v>443</v>
      </c>
    </row>
    <row r="455" spans="4:22">
      <c r="D455" s="32" t="str">
        <f>IF(V455&lt;=calcs!$F$4,'Loan Calculator'!V455,"")</f>
        <v/>
      </c>
      <c r="E455" s="29" t="str" cm="1">
        <f t="array" ref="E455">_xlfn.IFS(F455="","",G454&lt;F454,G454*calcs!$H$3,$D$8&lt;=0,$M$3-F455,$D$8&gt;0,$M$3-F455+$D$8,G454&lt;F454,G455*calcs!$H$3)</f>
        <v/>
      </c>
      <c r="F455" s="29" t="str" cm="1">
        <f t="array" ref="F455">_xlfn.IFS(F454="","",G454=0,"",G454&lt;1,"",G454&lt;F454,G454,AND(G454&gt;0,$D$8&gt;0),$D$8+($M$3-(G454*calcs!$H$3)),G454&gt;0,$M$3-(G454*calcs!$H$3))</f>
        <v/>
      </c>
      <c r="G455" s="29" t="str" cm="1">
        <f t="array" ref="G455">_xlfn.IFS(F455="","",G454-F455&lt;1,0,ISBLANK(F455)=TRUE,"",G454-F455&gt;1,G454-F455)</f>
        <v/>
      </c>
      <c r="H455" s="33" t="str">
        <f t="shared" si="7"/>
        <v/>
      </c>
      <c r="I455" s="2" t="str" cm="1">
        <f t="array" ref="I455">_xlfn.IFS(OR(D455="",E455="",F455=""),"",MOD(D455,12)&lt;&gt;0,"",MOD(D455,12)=0,"Year End"&amp;" "&amp;D455/12)</f>
        <v/>
      </c>
      <c r="V455">
        <v>444</v>
      </c>
    </row>
    <row r="456" spans="4:22">
      <c r="D456" s="30" t="str">
        <f>IF(V456&lt;=calcs!$F$4,'Loan Calculator'!V456,"")</f>
        <v/>
      </c>
      <c r="E456" s="27" t="str" cm="1">
        <f t="array" ref="E456">_xlfn.IFS(F456="","",G455&lt;F455,G455*calcs!$H$3,$D$8&lt;=0,$M$3-F456,$D$8&gt;0,$M$3-F456+$D$8,G455&lt;F455,G456*calcs!$H$3)</f>
        <v/>
      </c>
      <c r="F456" s="27" t="str" cm="1">
        <f t="array" ref="F456">_xlfn.IFS(F455="","",G455=0,"",G455&lt;1,"",G455&lt;F455,G455,AND(G455&gt;0,$D$8&gt;0),$D$8+($M$3-(G455*calcs!$H$3)),G455&gt;0,$M$3-(G455*calcs!$H$3))</f>
        <v/>
      </c>
      <c r="G456" s="27" t="str" cm="1">
        <f t="array" ref="G456">_xlfn.IFS(F456="","",G455-F456&lt;1,0,ISBLANK(F456)=TRUE,"",G455-F456&gt;1,G455-F456)</f>
        <v/>
      </c>
      <c r="H456" s="31" t="str">
        <f t="shared" si="7"/>
        <v/>
      </c>
      <c r="I456" s="2" t="str" cm="1">
        <f t="array" ref="I456">_xlfn.IFS(OR(D456="",E456="",F456=""),"",MOD(D456,12)&lt;&gt;0,"",MOD(D456,12)=0,"Year End"&amp;" "&amp;D456/12)</f>
        <v/>
      </c>
      <c r="V456">
        <v>445</v>
      </c>
    </row>
    <row r="457" spans="4:22">
      <c r="D457" s="32" t="str">
        <f>IF(V457&lt;=calcs!$F$4,'Loan Calculator'!V457,"")</f>
        <v/>
      </c>
      <c r="E457" s="29" t="str" cm="1">
        <f t="array" ref="E457">_xlfn.IFS(F457="","",G456&lt;F456,G456*calcs!$H$3,$D$8&lt;=0,$M$3-F457,$D$8&gt;0,$M$3-F457+$D$8,G456&lt;F456,G457*calcs!$H$3)</f>
        <v/>
      </c>
      <c r="F457" s="29" t="str" cm="1">
        <f t="array" ref="F457">_xlfn.IFS(F456="","",G456=0,"",G456&lt;1,"",G456&lt;F456,G456,AND(G456&gt;0,$D$8&gt;0),$D$8+($M$3-(G456*calcs!$H$3)),G456&gt;0,$M$3-(G456*calcs!$H$3))</f>
        <v/>
      </c>
      <c r="G457" s="29" t="str" cm="1">
        <f t="array" ref="G457">_xlfn.IFS(F457="","",G456-F457&lt;1,0,ISBLANK(F457)=TRUE,"",G456-F457&gt;1,G456-F457)</f>
        <v/>
      </c>
      <c r="H457" s="33" t="str">
        <f t="shared" si="7"/>
        <v/>
      </c>
      <c r="I457" s="2" t="str" cm="1">
        <f t="array" ref="I457">_xlfn.IFS(OR(D457="",E457="",F457=""),"",MOD(D457,12)&lt;&gt;0,"",MOD(D457,12)=0,"Year End"&amp;" "&amp;D457/12)</f>
        <v/>
      </c>
      <c r="V457">
        <v>446</v>
      </c>
    </row>
    <row r="458" spans="4:22">
      <c r="D458" s="30" t="str">
        <f>IF(V458&lt;=calcs!$F$4,'Loan Calculator'!V458,"")</f>
        <v/>
      </c>
      <c r="E458" s="27" t="str" cm="1">
        <f t="array" ref="E458">_xlfn.IFS(F458="","",G457&lt;F457,G457*calcs!$H$3,$D$8&lt;=0,$M$3-F458,$D$8&gt;0,$M$3-F458+$D$8,G457&lt;F457,G458*calcs!$H$3)</f>
        <v/>
      </c>
      <c r="F458" s="27" t="str" cm="1">
        <f t="array" ref="F458">_xlfn.IFS(F457="","",G457=0,"",G457&lt;1,"",G457&lt;F457,G457,AND(G457&gt;0,$D$8&gt;0),$D$8+($M$3-(G457*calcs!$H$3)),G457&gt;0,$M$3-(G457*calcs!$H$3))</f>
        <v/>
      </c>
      <c r="G458" s="27" t="str" cm="1">
        <f t="array" ref="G458">_xlfn.IFS(F458="","",G457-F458&lt;1,0,ISBLANK(F458)=TRUE,"",G457-F458&gt;1,G457-F458)</f>
        <v/>
      </c>
      <c r="H458" s="31" t="str">
        <f t="shared" si="7"/>
        <v/>
      </c>
      <c r="I458" s="2" t="str" cm="1">
        <f t="array" ref="I458">_xlfn.IFS(OR(D458="",E458="",F458=""),"",MOD(D458,12)&lt;&gt;0,"",MOD(D458,12)=0,"Year End"&amp;" "&amp;D458/12)</f>
        <v/>
      </c>
      <c r="V458">
        <v>447</v>
      </c>
    </row>
    <row r="459" spans="4:22">
      <c r="D459" s="32" t="str">
        <f>IF(V459&lt;=calcs!$F$4,'Loan Calculator'!V459,"")</f>
        <v/>
      </c>
      <c r="E459" s="29" t="str" cm="1">
        <f t="array" ref="E459">_xlfn.IFS(F459="","",G458&lt;F458,G458*calcs!$H$3,$D$8&lt;=0,$M$3-F459,$D$8&gt;0,$M$3-F459+$D$8,G458&lt;F458,G459*calcs!$H$3)</f>
        <v/>
      </c>
      <c r="F459" s="29" t="str" cm="1">
        <f t="array" ref="F459">_xlfn.IFS(F458="","",G458=0,"",G458&lt;1,"",G458&lt;F458,G458,AND(G458&gt;0,$D$8&gt;0),$D$8+($M$3-(G458*calcs!$H$3)),G458&gt;0,$M$3-(G458*calcs!$H$3))</f>
        <v/>
      </c>
      <c r="G459" s="29" t="str" cm="1">
        <f t="array" ref="G459">_xlfn.IFS(F459="","",G458-F459&lt;1,0,ISBLANK(F459)=TRUE,"",G458-F459&gt;1,G458-F459)</f>
        <v/>
      </c>
      <c r="H459" s="33" t="str">
        <f t="shared" si="7"/>
        <v/>
      </c>
      <c r="I459" s="2" t="str" cm="1">
        <f t="array" ref="I459">_xlfn.IFS(OR(D459="",E459="",F459=""),"",MOD(D459,12)&lt;&gt;0,"",MOD(D459,12)=0,"Year End"&amp;" "&amp;D459/12)</f>
        <v/>
      </c>
      <c r="V459">
        <v>448</v>
      </c>
    </row>
    <row r="460" spans="4:22">
      <c r="D460" s="30" t="str">
        <f>IF(V460&lt;=calcs!$F$4,'Loan Calculator'!V460,"")</f>
        <v/>
      </c>
      <c r="E460" s="27" t="str" cm="1">
        <f t="array" ref="E460">_xlfn.IFS(F460="","",G459&lt;F459,G459*calcs!$H$3,$D$8&lt;=0,$M$3-F460,$D$8&gt;0,$M$3-F460+$D$8,G459&lt;F459,G460*calcs!$H$3)</f>
        <v/>
      </c>
      <c r="F460" s="27" t="str" cm="1">
        <f t="array" ref="F460">_xlfn.IFS(F459="","",G459=0,"",G459&lt;1,"",G459&lt;F459,G459,AND(G459&gt;0,$D$8&gt;0),$D$8+($M$3-(G459*calcs!$H$3)),G459&gt;0,$M$3-(G459*calcs!$H$3))</f>
        <v/>
      </c>
      <c r="G460" s="27" t="str" cm="1">
        <f t="array" ref="G460">_xlfn.IFS(F460="","",G459-F460&lt;1,0,ISBLANK(F460)=TRUE,"",G459-F460&gt;1,G459-F460)</f>
        <v/>
      </c>
      <c r="H460" s="31" t="str">
        <f t="shared" si="7"/>
        <v/>
      </c>
      <c r="I460" s="2" t="str" cm="1">
        <f t="array" ref="I460">_xlfn.IFS(OR(D460="",E460="",F460=""),"",MOD(D460,12)&lt;&gt;0,"",MOD(D460,12)=0,"Year End"&amp;" "&amp;D460/12)</f>
        <v/>
      </c>
      <c r="V460">
        <v>449</v>
      </c>
    </row>
    <row r="461" spans="4:22">
      <c r="D461" s="32" t="str">
        <f>IF(V461&lt;=calcs!$F$4,'Loan Calculator'!V461,"")</f>
        <v/>
      </c>
      <c r="E461" s="29" t="str" cm="1">
        <f t="array" ref="E461">_xlfn.IFS(F461="","",G460&lt;F460,G460*calcs!$H$3,$D$8&lt;=0,$M$3-F461,$D$8&gt;0,$M$3-F461+$D$8,G460&lt;F460,G461*calcs!$H$3)</f>
        <v/>
      </c>
      <c r="F461" s="29" t="str" cm="1">
        <f t="array" ref="F461">_xlfn.IFS(F460="","",G460=0,"",G460&lt;1,"",G460&lt;F460,G460,AND(G460&gt;0,$D$8&gt;0),$D$8+($M$3-(G460*calcs!$H$3)),G460&gt;0,$M$3-(G460*calcs!$H$3))</f>
        <v/>
      </c>
      <c r="G461" s="29" t="str" cm="1">
        <f t="array" ref="G461">_xlfn.IFS(F461="","",G460-F461&lt;1,0,ISBLANK(F461)=TRUE,"",G460-F461&gt;1,G460-F461)</f>
        <v/>
      </c>
      <c r="H461" s="33" t="str">
        <f t="shared" si="7"/>
        <v/>
      </c>
      <c r="I461" s="2" t="str" cm="1">
        <f t="array" ref="I461">_xlfn.IFS(OR(D461="",E461="",F461=""),"",MOD(D461,12)&lt;&gt;0,"",MOD(D461,12)=0,"Year End"&amp;" "&amp;D461/12)</f>
        <v/>
      </c>
      <c r="V461">
        <v>450</v>
      </c>
    </row>
    <row r="462" spans="4:22">
      <c r="D462" s="30" t="str">
        <f>IF(V462&lt;=calcs!$F$4,'Loan Calculator'!V462,"")</f>
        <v/>
      </c>
      <c r="E462" s="27" t="str" cm="1">
        <f t="array" ref="E462">_xlfn.IFS(F462="","",G461&lt;F461,G461*calcs!$H$3,$D$8&lt;=0,$M$3-F462,$D$8&gt;0,$M$3-F462+$D$8,G461&lt;F461,G462*calcs!$H$3)</f>
        <v/>
      </c>
      <c r="F462" s="27" t="str" cm="1">
        <f t="array" ref="F462">_xlfn.IFS(F461="","",G461=0,"",G461&lt;1,"",G461&lt;F461,G461,AND(G461&gt;0,$D$8&gt;0),$D$8+($M$3-(G461*calcs!$H$3)),G461&gt;0,$M$3-(G461*calcs!$H$3))</f>
        <v/>
      </c>
      <c r="G462" s="27" t="str" cm="1">
        <f t="array" ref="G462">_xlfn.IFS(F462="","",G461-F462&lt;1,0,ISBLANK(F462)=TRUE,"",G461-F462&gt;1,G461-F462)</f>
        <v/>
      </c>
      <c r="H462" s="31" t="str">
        <f t="shared" ref="H462:H525" si="8">IF(OR(H461=0,H461="",E462="",F462=""),"",H461+E462+F462)</f>
        <v/>
      </c>
      <c r="I462" s="2" t="str" cm="1">
        <f t="array" ref="I462">_xlfn.IFS(OR(D462="",E462="",F462=""),"",MOD(D462,12)&lt;&gt;0,"",MOD(D462,12)=0,"Year End"&amp;" "&amp;D462/12)</f>
        <v/>
      </c>
      <c r="V462">
        <v>451</v>
      </c>
    </row>
    <row r="463" spans="4:22">
      <c r="D463" s="32" t="str">
        <f>IF(V463&lt;=calcs!$F$4,'Loan Calculator'!V463,"")</f>
        <v/>
      </c>
      <c r="E463" s="29" t="str" cm="1">
        <f t="array" ref="E463">_xlfn.IFS(F463="","",G462&lt;F462,G462*calcs!$H$3,$D$8&lt;=0,$M$3-F463,$D$8&gt;0,$M$3-F463+$D$8,G462&lt;F462,G463*calcs!$H$3)</f>
        <v/>
      </c>
      <c r="F463" s="29" t="str" cm="1">
        <f t="array" ref="F463">_xlfn.IFS(F462="","",G462=0,"",G462&lt;1,"",G462&lt;F462,G462,AND(G462&gt;0,$D$8&gt;0),$D$8+($M$3-(G462*calcs!$H$3)),G462&gt;0,$M$3-(G462*calcs!$H$3))</f>
        <v/>
      </c>
      <c r="G463" s="29" t="str" cm="1">
        <f t="array" ref="G463">_xlfn.IFS(F463="","",G462-F463&lt;1,0,ISBLANK(F463)=TRUE,"",G462-F463&gt;1,G462-F463)</f>
        <v/>
      </c>
      <c r="H463" s="33" t="str">
        <f t="shared" si="8"/>
        <v/>
      </c>
      <c r="I463" s="2" t="str" cm="1">
        <f t="array" ref="I463">_xlfn.IFS(OR(D463="",E463="",F463=""),"",MOD(D463,12)&lt;&gt;0,"",MOD(D463,12)=0,"Year End"&amp;" "&amp;D463/12)</f>
        <v/>
      </c>
      <c r="V463">
        <v>452</v>
      </c>
    </row>
    <row r="464" spans="4:22">
      <c r="D464" s="30" t="str">
        <f>IF(V464&lt;=calcs!$F$4,'Loan Calculator'!V464,"")</f>
        <v/>
      </c>
      <c r="E464" s="27" t="str" cm="1">
        <f t="array" ref="E464">_xlfn.IFS(F464="","",G463&lt;F463,G463*calcs!$H$3,$D$8&lt;=0,$M$3-F464,$D$8&gt;0,$M$3-F464+$D$8,G463&lt;F463,G464*calcs!$H$3)</f>
        <v/>
      </c>
      <c r="F464" s="27" t="str" cm="1">
        <f t="array" ref="F464">_xlfn.IFS(F463="","",G463=0,"",G463&lt;1,"",G463&lt;F463,G463,AND(G463&gt;0,$D$8&gt;0),$D$8+($M$3-(G463*calcs!$H$3)),G463&gt;0,$M$3-(G463*calcs!$H$3))</f>
        <v/>
      </c>
      <c r="G464" s="27" t="str" cm="1">
        <f t="array" ref="G464">_xlfn.IFS(F464="","",G463-F464&lt;1,0,ISBLANK(F464)=TRUE,"",G463-F464&gt;1,G463-F464)</f>
        <v/>
      </c>
      <c r="H464" s="31" t="str">
        <f t="shared" si="8"/>
        <v/>
      </c>
      <c r="I464" s="2" t="str" cm="1">
        <f t="array" ref="I464">_xlfn.IFS(OR(D464="",E464="",F464=""),"",MOD(D464,12)&lt;&gt;0,"",MOD(D464,12)=0,"Year End"&amp;" "&amp;D464/12)</f>
        <v/>
      </c>
      <c r="V464">
        <v>453</v>
      </c>
    </row>
    <row r="465" spans="4:22">
      <c r="D465" s="32" t="str">
        <f>IF(V465&lt;=calcs!$F$4,'Loan Calculator'!V465,"")</f>
        <v/>
      </c>
      <c r="E465" s="29" t="str" cm="1">
        <f t="array" ref="E465">_xlfn.IFS(F465="","",G464&lt;F464,G464*calcs!$H$3,$D$8&lt;=0,$M$3-F465,$D$8&gt;0,$M$3-F465+$D$8,G464&lt;F464,G465*calcs!$H$3)</f>
        <v/>
      </c>
      <c r="F465" s="29" t="str" cm="1">
        <f t="array" ref="F465">_xlfn.IFS(F464="","",G464=0,"",G464&lt;1,"",G464&lt;F464,G464,AND(G464&gt;0,$D$8&gt;0),$D$8+($M$3-(G464*calcs!$H$3)),G464&gt;0,$M$3-(G464*calcs!$H$3))</f>
        <v/>
      </c>
      <c r="G465" s="29" t="str" cm="1">
        <f t="array" ref="G465">_xlfn.IFS(F465="","",G464-F465&lt;1,0,ISBLANK(F465)=TRUE,"",G464-F465&gt;1,G464-F465)</f>
        <v/>
      </c>
      <c r="H465" s="33" t="str">
        <f t="shared" si="8"/>
        <v/>
      </c>
      <c r="I465" s="2" t="str" cm="1">
        <f t="array" ref="I465">_xlfn.IFS(OR(D465="",E465="",F465=""),"",MOD(D465,12)&lt;&gt;0,"",MOD(D465,12)=0,"Year End"&amp;" "&amp;D465/12)</f>
        <v/>
      </c>
      <c r="V465">
        <v>454</v>
      </c>
    </row>
    <row r="466" spans="4:22">
      <c r="D466" s="30" t="str">
        <f>IF(V466&lt;=calcs!$F$4,'Loan Calculator'!V466,"")</f>
        <v/>
      </c>
      <c r="E466" s="27" t="str" cm="1">
        <f t="array" ref="E466">_xlfn.IFS(F466="","",G465&lt;F465,G465*calcs!$H$3,$D$8&lt;=0,$M$3-F466,$D$8&gt;0,$M$3-F466+$D$8,G465&lt;F465,G466*calcs!$H$3)</f>
        <v/>
      </c>
      <c r="F466" s="27" t="str" cm="1">
        <f t="array" ref="F466">_xlfn.IFS(F465="","",G465=0,"",G465&lt;1,"",G465&lt;F465,G465,AND(G465&gt;0,$D$8&gt;0),$D$8+($M$3-(G465*calcs!$H$3)),G465&gt;0,$M$3-(G465*calcs!$H$3))</f>
        <v/>
      </c>
      <c r="G466" s="27" t="str" cm="1">
        <f t="array" ref="G466">_xlfn.IFS(F466="","",G465-F466&lt;1,0,ISBLANK(F466)=TRUE,"",G465-F466&gt;1,G465-F466)</f>
        <v/>
      </c>
      <c r="H466" s="31" t="str">
        <f t="shared" si="8"/>
        <v/>
      </c>
      <c r="I466" s="2" t="str" cm="1">
        <f t="array" ref="I466">_xlfn.IFS(OR(D466="",E466="",F466=""),"",MOD(D466,12)&lt;&gt;0,"",MOD(D466,12)=0,"Year End"&amp;" "&amp;D466/12)</f>
        <v/>
      </c>
      <c r="V466">
        <v>455</v>
      </c>
    </row>
    <row r="467" spans="4:22">
      <c r="D467" s="32" t="str">
        <f>IF(V467&lt;=calcs!$F$4,'Loan Calculator'!V467,"")</f>
        <v/>
      </c>
      <c r="E467" s="29" t="str" cm="1">
        <f t="array" ref="E467">_xlfn.IFS(F467="","",G466&lt;F466,G466*calcs!$H$3,$D$8&lt;=0,$M$3-F467,$D$8&gt;0,$M$3-F467+$D$8,G466&lt;F466,G467*calcs!$H$3)</f>
        <v/>
      </c>
      <c r="F467" s="29" t="str" cm="1">
        <f t="array" ref="F467">_xlfn.IFS(F466="","",G466=0,"",G466&lt;1,"",G466&lt;F466,G466,AND(G466&gt;0,$D$8&gt;0),$D$8+($M$3-(G466*calcs!$H$3)),G466&gt;0,$M$3-(G466*calcs!$H$3))</f>
        <v/>
      </c>
      <c r="G467" s="29" t="str" cm="1">
        <f t="array" ref="G467">_xlfn.IFS(F467="","",G466-F467&lt;1,0,ISBLANK(F467)=TRUE,"",G466-F467&gt;1,G466-F467)</f>
        <v/>
      </c>
      <c r="H467" s="33" t="str">
        <f t="shared" si="8"/>
        <v/>
      </c>
      <c r="I467" s="2" t="str" cm="1">
        <f t="array" ref="I467">_xlfn.IFS(OR(D467="",E467="",F467=""),"",MOD(D467,12)&lt;&gt;0,"",MOD(D467,12)=0,"Year End"&amp;" "&amp;D467/12)</f>
        <v/>
      </c>
      <c r="V467">
        <v>456</v>
      </c>
    </row>
    <row r="468" spans="4:22">
      <c r="D468" s="30" t="str">
        <f>IF(V468&lt;=calcs!$F$4,'Loan Calculator'!V468,"")</f>
        <v/>
      </c>
      <c r="E468" s="27" t="str" cm="1">
        <f t="array" ref="E468">_xlfn.IFS(F468="","",G467&lt;F467,G467*calcs!$H$3,$D$8&lt;=0,$M$3-F468,$D$8&gt;0,$M$3-F468+$D$8,G467&lt;F467,G468*calcs!$H$3)</f>
        <v/>
      </c>
      <c r="F468" s="27" t="str" cm="1">
        <f t="array" ref="F468">_xlfn.IFS(F467="","",G467=0,"",G467&lt;1,"",G467&lt;F467,G467,AND(G467&gt;0,$D$8&gt;0),$D$8+($M$3-(G467*calcs!$H$3)),G467&gt;0,$M$3-(G467*calcs!$H$3))</f>
        <v/>
      </c>
      <c r="G468" s="27" t="str" cm="1">
        <f t="array" ref="G468">_xlfn.IFS(F468="","",G467-F468&lt;1,0,ISBLANK(F468)=TRUE,"",G467-F468&gt;1,G467-F468)</f>
        <v/>
      </c>
      <c r="H468" s="31" t="str">
        <f t="shared" si="8"/>
        <v/>
      </c>
      <c r="I468" s="2" t="str" cm="1">
        <f t="array" ref="I468">_xlfn.IFS(OR(D468="",E468="",F468=""),"",MOD(D468,12)&lt;&gt;0,"",MOD(D468,12)=0,"Year End"&amp;" "&amp;D468/12)</f>
        <v/>
      </c>
      <c r="V468">
        <v>457</v>
      </c>
    </row>
    <row r="469" spans="4:22">
      <c r="D469" s="32" t="str">
        <f>IF(V469&lt;=calcs!$F$4,'Loan Calculator'!V469,"")</f>
        <v/>
      </c>
      <c r="E469" s="29" t="str" cm="1">
        <f t="array" ref="E469">_xlfn.IFS(F469="","",G468&lt;F468,G468*calcs!$H$3,$D$8&lt;=0,$M$3-F469,$D$8&gt;0,$M$3-F469+$D$8,G468&lt;F468,G469*calcs!$H$3)</f>
        <v/>
      </c>
      <c r="F469" s="29" t="str" cm="1">
        <f t="array" ref="F469">_xlfn.IFS(F468="","",G468=0,"",G468&lt;1,"",G468&lt;F468,G468,AND(G468&gt;0,$D$8&gt;0),$D$8+($M$3-(G468*calcs!$H$3)),G468&gt;0,$M$3-(G468*calcs!$H$3))</f>
        <v/>
      </c>
      <c r="G469" s="29" t="str" cm="1">
        <f t="array" ref="G469">_xlfn.IFS(F469="","",G468-F469&lt;1,0,ISBLANK(F469)=TRUE,"",G468-F469&gt;1,G468-F469)</f>
        <v/>
      </c>
      <c r="H469" s="33" t="str">
        <f t="shared" si="8"/>
        <v/>
      </c>
      <c r="I469" s="2" t="str" cm="1">
        <f t="array" ref="I469">_xlfn.IFS(OR(D469="",E469="",F469=""),"",MOD(D469,12)&lt;&gt;0,"",MOD(D469,12)=0,"Year End"&amp;" "&amp;D469/12)</f>
        <v/>
      </c>
      <c r="V469">
        <v>458</v>
      </c>
    </row>
    <row r="470" spans="4:22">
      <c r="D470" s="30" t="str">
        <f>IF(V470&lt;=calcs!$F$4,'Loan Calculator'!V470,"")</f>
        <v/>
      </c>
      <c r="E470" s="27" t="str" cm="1">
        <f t="array" ref="E470">_xlfn.IFS(F470="","",G469&lt;F469,G469*calcs!$H$3,$D$8&lt;=0,$M$3-F470,$D$8&gt;0,$M$3-F470+$D$8,G469&lt;F469,G470*calcs!$H$3)</f>
        <v/>
      </c>
      <c r="F470" s="27" t="str" cm="1">
        <f t="array" ref="F470">_xlfn.IFS(F469="","",G469=0,"",G469&lt;1,"",G469&lt;F469,G469,AND(G469&gt;0,$D$8&gt;0),$D$8+($M$3-(G469*calcs!$H$3)),G469&gt;0,$M$3-(G469*calcs!$H$3))</f>
        <v/>
      </c>
      <c r="G470" s="27" t="str" cm="1">
        <f t="array" ref="G470">_xlfn.IFS(F470="","",G469-F470&lt;1,0,ISBLANK(F470)=TRUE,"",G469-F470&gt;1,G469-F470)</f>
        <v/>
      </c>
      <c r="H470" s="31" t="str">
        <f t="shared" si="8"/>
        <v/>
      </c>
      <c r="I470" s="2" t="str" cm="1">
        <f t="array" ref="I470">_xlfn.IFS(OR(D470="",E470="",F470=""),"",MOD(D470,12)&lt;&gt;0,"",MOD(D470,12)=0,"Year End"&amp;" "&amp;D470/12)</f>
        <v/>
      </c>
      <c r="V470">
        <v>459</v>
      </c>
    </row>
    <row r="471" spans="4:22">
      <c r="D471" s="32" t="str">
        <f>IF(V471&lt;=calcs!$F$4,'Loan Calculator'!V471,"")</f>
        <v/>
      </c>
      <c r="E471" s="29" t="str" cm="1">
        <f t="array" ref="E471">_xlfn.IFS(F471="","",G470&lt;F470,G470*calcs!$H$3,$D$8&lt;=0,$M$3-F471,$D$8&gt;0,$M$3-F471+$D$8,G470&lt;F470,G471*calcs!$H$3)</f>
        <v/>
      </c>
      <c r="F471" s="29" t="str" cm="1">
        <f t="array" ref="F471">_xlfn.IFS(F470="","",G470=0,"",G470&lt;1,"",G470&lt;F470,G470,AND(G470&gt;0,$D$8&gt;0),$D$8+($M$3-(G470*calcs!$H$3)),G470&gt;0,$M$3-(G470*calcs!$H$3))</f>
        <v/>
      </c>
      <c r="G471" s="29" t="str" cm="1">
        <f t="array" ref="G471">_xlfn.IFS(F471="","",G470-F471&lt;1,0,ISBLANK(F471)=TRUE,"",G470-F471&gt;1,G470-F471)</f>
        <v/>
      </c>
      <c r="H471" s="33" t="str">
        <f t="shared" si="8"/>
        <v/>
      </c>
      <c r="I471" s="2" t="str" cm="1">
        <f t="array" ref="I471">_xlfn.IFS(OR(D471="",E471="",F471=""),"",MOD(D471,12)&lt;&gt;0,"",MOD(D471,12)=0,"Year End"&amp;" "&amp;D471/12)</f>
        <v/>
      </c>
      <c r="V471">
        <v>460</v>
      </c>
    </row>
    <row r="472" spans="4:22">
      <c r="D472" s="30" t="str">
        <f>IF(V472&lt;=calcs!$F$4,'Loan Calculator'!V472,"")</f>
        <v/>
      </c>
      <c r="E472" s="27" t="str" cm="1">
        <f t="array" ref="E472">_xlfn.IFS(F472="","",G471&lt;F471,G471*calcs!$H$3,$D$8&lt;=0,$M$3-F472,$D$8&gt;0,$M$3-F472+$D$8,G471&lt;F471,G472*calcs!$H$3)</f>
        <v/>
      </c>
      <c r="F472" s="27" t="str" cm="1">
        <f t="array" ref="F472">_xlfn.IFS(F471="","",G471=0,"",G471&lt;1,"",G471&lt;F471,G471,AND(G471&gt;0,$D$8&gt;0),$D$8+($M$3-(G471*calcs!$H$3)),G471&gt;0,$M$3-(G471*calcs!$H$3))</f>
        <v/>
      </c>
      <c r="G472" s="27" t="str" cm="1">
        <f t="array" ref="G472">_xlfn.IFS(F472="","",G471-F472&lt;1,0,ISBLANK(F472)=TRUE,"",G471-F472&gt;1,G471-F472)</f>
        <v/>
      </c>
      <c r="H472" s="31" t="str">
        <f t="shared" si="8"/>
        <v/>
      </c>
      <c r="I472" s="2" t="str" cm="1">
        <f t="array" ref="I472">_xlfn.IFS(OR(D472="",E472="",F472=""),"",MOD(D472,12)&lt;&gt;0,"",MOD(D472,12)=0,"Year End"&amp;" "&amp;D472/12)</f>
        <v/>
      </c>
      <c r="V472">
        <v>461</v>
      </c>
    </row>
    <row r="473" spans="4:22">
      <c r="D473" s="32" t="str">
        <f>IF(V473&lt;=calcs!$F$4,'Loan Calculator'!V473,"")</f>
        <v/>
      </c>
      <c r="E473" s="29" t="str" cm="1">
        <f t="array" ref="E473">_xlfn.IFS(F473="","",G472&lt;F472,G472*calcs!$H$3,$D$8&lt;=0,$M$3-F473,$D$8&gt;0,$M$3-F473+$D$8,G472&lt;F472,G473*calcs!$H$3)</f>
        <v/>
      </c>
      <c r="F473" s="29" t="str" cm="1">
        <f t="array" ref="F473">_xlfn.IFS(F472="","",G472=0,"",G472&lt;1,"",G472&lt;F472,G472,AND(G472&gt;0,$D$8&gt;0),$D$8+($M$3-(G472*calcs!$H$3)),G472&gt;0,$M$3-(G472*calcs!$H$3))</f>
        <v/>
      </c>
      <c r="G473" s="29" t="str" cm="1">
        <f t="array" ref="G473">_xlfn.IFS(F473="","",G472-F473&lt;1,0,ISBLANK(F473)=TRUE,"",G472-F473&gt;1,G472-F473)</f>
        <v/>
      </c>
      <c r="H473" s="33" t="str">
        <f t="shared" si="8"/>
        <v/>
      </c>
      <c r="I473" s="2" t="str" cm="1">
        <f t="array" ref="I473">_xlfn.IFS(OR(D473="",E473="",F473=""),"",MOD(D473,12)&lt;&gt;0,"",MOD(D473,12)=0,"Year End"&amp;" "&amp;D473/12)</f>
        <v/>
      </c>
      <c r="V473">
        <v>462</v>
      </c>
    </row>
    <row r="474" spans="4:22">
      <c r="D474" s="30" t="str">
        <f>IF(V474&lt;=calcs!$F$4,'Loan Calculator'!V474,"")</f>
        <v/>
      </c>
      <c r="E474" s="27" t="str" cm="1">
        <f t="array" ref="E474">_xlfn.IFS(F474="","",G473&lt;F473,G473*calcs!$H$3,$D$8&lt;=0,$M$3-F474,$D$8&gt;0,$M$3-F474+$D$8,G473&lt;F473,G474*calcs!$H$3)</f>
        <v/>
      </c>
      <c r="F474" s="27" t="str" cm="1">
        <f t="array" ref="F474">_xlfn.IFS(F473="","",G473=0,"",G473&lt;1,"",G473&lt;F473,G473,AND(G473&gt;0,$D$8&gt;0),$D$8+($M$3-(G473*calcs!$H$3)),G473&gt;0,$M$3-(G473*calcs!$H$3))</f>
        <v/>
      </c>
      <c r="G474" s="27" t="str" cm="1">
        <f t="array" ref="G474">_xlfn.IFS(F474="","",G473-F474&lt;1,0,ISBLANK(F474)=TRUE,"",G473-F474&gt;1,G473-F474)</f>
        <v/>
      </c>
      <c r="H474" s="31" t="str">
        <f t="shared" si="8"/>
        <v/>
      </c>
      <c r="I474" s="2" t="str" cm="1">
        <f t="array" ref="I474">_xlfn.IFS(OR(D474="",E474="",F474=""),"",MOD(D474,12)&lt;&gt;0,"",MOD(D474,12)=0,"Year End"&amp;" "&amp;D474/12)</f>
        <v/>
      </c>
      <c r="V474">
        <v>463</v>
      </c>
    </row>
    <row r="475" spans="4:22">
      <c r="D475" s="32" t="str">
        <f>IF(V475&lt;=calcs!$F$4,'Loan Calculator'!V475,"")</f>
        <v/>
      </c>
      <c r="E475" s="29" t="str" cm="1">
        <f t="array" ref="E475">_xlfn.IFS(F475="","",G474&lt;F474,G474*calcs!$H$3,$D$8&lt;=0,$M$3-F475,$D$8&gt;0,$M$3-F475+$D$8,G474&lt;F474,G475*calcs!$H$3)</f>
        <v/>
      </c>
      <c r="F475" s="29" t="str" cm="1">
        <f t="array" ref="F475">_xlfn.IFS(F474="","",G474=0,"",G474&lt;1,"",G474&lt;F474,G474,AND(G474&gt;0,$D$8&gt;0),$D$8+($M$3-(G474*calcs!$H$3)),G474&gt;0,$M$3-(G474*calcs!$H$3))</f>
        <v/>
      </c>
      <c r="G475" s="29" t="str" cm="1">
        <f t="array" ref="G475">_xlfn.IFS(F475="","",G474-F475&lt;1,0,ISBLANK(F475)=TRUE,"",G474-F475&gt;1,G474-F475)</f>
        <v/>
      </c>
      <c r="H475" s="33" t="str">
        <f t="shared" si="8"/>
        <v/>
      </c>
      <c r="I475" s="2" t="str" cm="1">
        <f t="array" ref="I475">_xlfn.IFS(OR(D475="",E475="",F475=""),"",MOD(D475,12)&lt;&gt;0,"",MOD(D475,12)=0,"Year End"&amp;" "&amp;D475/12)</f>
        <v/>
      </c>
      <c r="V475">
        <v>464</v>
      </c>
    </row>
    <row r="476" spans="4:22">
      <c r="D476" s="30" t="str">
        <f>IF(V476&lt;=calcs!$F$4,'Loan Calculator'!V476,"")</f>
        <v/>
      </c>
      <c r="E476" s="27" t="str" cm="1">
        <f t="array" ref="E476">_xlfn.IFS(F476="","",G475&lt;F475,G475*calcs!$H$3,$D$8&lt;=0,$M$3-F476,$D$8&gt;0,$M$3-F476+$D$8,G475&lt;F475,G476*calcs!$H$3)</f>
        <v/>
      </c>
      <c r="F476" s="27" t="str" cm="1">
        <f t="array" ref="F476">_xlfn.IFS(F475="","",G475=0,"",G475&lt;1,"",G475&lt;F475,G475,AND(G475&gt;0,$D$8&gt;0),$D$8+($M$3-(G475*calcs!$H$3)),G475&gt;0,$M$3-(G475*calcs!$H$3))</f>
        <v/>
      </c>
      <c r="G476" s="27" t="str" cm="1">
        <f t="array" ref="G476">_xlfn.IFS(F476="","",G475-F476&lt;1,0,ISBLANK(F476)=TRUE,"",G475-F476&gt;1,G475-F476)</f>
        <v/>
      </c>
      <c r="H476" s="31" t="str">
        <f t="shared" si="8"/>
        <v/>
      </c>
      <c r="I476" s="2" t="str" cm="1">
        <f t="array" ref="I476">_xlfn.IFS(OR(D476="",E476="",F476=""),"",MOD(D476,12)&lt;&gt;0,"",MOD(D476,12)=0,"Year End"&amp;" "&amp;D476/12)</f>
        <v/>
      </c>
      <c r="V476">
        <v>465</v>
      </c>
    </row>
    <row r="477" spans="4:22">
      <c r="D477" s="32" t="str">
        <f>IF(V477&lt;=calcs!$F$4,'Loan Calculator'!V477,"")</f>
        <v/>
      </c>
      <c r="E477" s="29" t="str" cm="1">
        <f t="array" ref="E477">_xlfn.IFS(F477="","",G476&lt;F476,G476*calcs!$H$3,$D$8&lt;=0,$M$3-F477,$D$8&gt;0,$M$3-F477+$D$8,G476&lt;F476,G477*calcs!$H$3)</f>
        <v/>
      </c>
      <c r="F477" s="29" t="str" cm="1">
        <f t="array" ref="F477">_xlfn.IFS(F476="","",G476=0,"",G476&lt;1,"",G476&lt;F476,G476,AND(G476&gt;0,$D$8&gt;0),$D$8+($M$3-(G476*calcs!$H$3)),G476&gt;0,$M$3-(G476*calcs!$H$3))</f>
        <v/>
      </c>
      <c r="G477" s="29" t="str" cm="1">
        <f t="array" ref="G477">_xlfn.IFS(F477="","",G476-F477&lt;1,0,ISBLANK(F477)=TRUE,"",G476-F477&gt;1,G476-F477)</f>
        <v/>
      </c>
      <c r="H477" s="33" t="str">
        <f t="shared" si="8"/>
        <v/>
      </c>
      <c r="I477" s="2" t="str" cm="1">
        <f t="array" ref="I477">_xlfn.IFS(OR(D477="",E477="",F477=""),"",MOD(D477,12)&lt;&gt;0,"",MOD(D477,12)=0,"Year End"&amp;" "&amp;D477/12)</f>
        <v/>
      </c>
      <c r="V477">
        <v>466</v>
      </c>
    </row>
    <row r="478" spans="4:22">
      <c r="D478" s="30" t="str">
        <f>IF(V478&lt;=calcs!$F$4,'Loan Calculator'!V478,"")</f>
        <v/>
      </c>
      <c r="E478" s="27" t="str" cm="1">
        <f t="array" ref="E478">_xlfn.IFS(F478="","",G477&lt;F477,G477*calcs!$H$3,$D$8&lt;=0,$M$3-F478,$D$8&gt;0,$M$3-F478+$D$8,G477&lt;F477,G478*calcs!$H$3)</f>
        <v/>
      </c>
      <c r="F478" s="27" t="str" cm="1">
        <f t="array" ref="F478">_xlfn.IFS(F477="","",G477=0,"",G477&lt;1,"",G477&lt;F477,G477,AND(G477&gt;0,$D$8&gt;0),$D$8+($M$3-(G477*calcs!$H$3)),G477&gt;0,$M$3-(G477*calcs!$H$3))</f>
        <v/>
      </c>
      <c r="G478" s="27" t="str" cm="1">
        <f t="array" ref="G478">_xlfn.IFS(F478="","",G477-F478&lt;1,0,ISBLANK(F478)=TRUE,"",G477-F478&gt;1,G477-F478)</f>
        <v/>
      </c>
      <c r="H478" s="31" t="str">
        <f t="shared" si="8"/>
        <v/>
      </c>
      <c r="I478" s="2" t="str" cm="1">
        <f t="array" ref="I478">_xlfn.IFS(OR(D478="",E478="",F478=""),"",MOD(D478,12)&lt;&gt;0,"",MOD(D478,12)=0,"Year End"&amp;" "&amp;D478/12)</f>
        <v/>
      </c>
      <c r="V478">
        <v>467</v>
      </c>
    </row>
    <row r="479" spans="4:22">
      <c r="D479" s="32" t="str">
        <f>IF(V479&lt;=calcs!$F$4,'Loan Calculator'!V479,"")</f>
        <v/>
      </c>
      <c r="E479" s="29" t="str" cm="1">
        <f t="array" ref="E479">_xlfn.IFS(F479="","",G478&lt;F478,G478*calcs!$H$3,$D$8&lt;=0,$M$3-F479,$D$8&gt;0,$M$3-F479+$D$8,G478&lt;F478,G479*calcs!$H$3)</f>
        <v/>
      </c>
      <c r="F479" s="29" t="str" cm="1">
        <f t="array" ref="F479">_xlfn.IFS(F478="","",G478=0,"",G478&lt;1,"",G478&lt;F478,G478,AND(G478&gt;0,$D$8&gt;0),$D$8+($M$3-(G478*calcs!$H$3)),G478&gt;0,$M$3-(G478*calcs!$H$3))</f>
        <v/>
      </c>
      <c r="G479" s="29" t="str" cm="1">
        <f t="array" ref="G479">_xlfn.IFS(F479="","",G478-F479&lt;1,0,ISBLANK(F479)=TRUE,"",G478-F479&gt;1,G478-F479)</f>
        <v/>
      </c>
      <c r="H479" s="33" t="str">
        <f t="shared" si="8"/>
        <v/>
      </c>
      <c r="I479" s="2" t="str" cm="1">
        <f t="array" ref="I479">_xlfn.IFS(OR(D479="",E479="",F479=""),"",MOD(D479,12)&lt;&gt;0,"",MOD(D479,12)=0,"Year End"&amp;" "&amp;D479/12)</f>
        <v/>
      </c>
      <c r="V479">
        <v>468</v>
      </c>
    </row>
    <row r="480" spans="4:22">
      <c r="D480" s="30" t="str">
        <f>IF(V480&lt;=calcs!$F$4,'Loan Calculator'!V480,"")</f>
        <v/>
      </c>
      <c r="E480" s="27" t="str" cm="1">
        <f t="array" ref="E480">_xlfn.IFS(F480="","",G479&lt;F479,G479*calcs!$H$3,$D$8&lt;=0,$M$3-F480,$D$8&gt;0,$M$3-F480+$D$8,G479&lt;F479,G480*calcs!$H$3)</f>
        <v/>
      </c>
      <c r="F480" s="27" t="str" cm="1">
        <f t="array" ref="F480">_xlfn.IFS(F479="","",G479=0,"",G479&lt;1,"",G479&lt;F479,G479,AND(G479&gt;0,$D$8&gt;0),$D$8+($M$3-(G479*calcs!$H$3)),G479&gt;0,$M$3-(G479*calcs!$H$3))</f>
        <v/>
      </c>
      <c r="G480" s="27" t="str" cm="1">
        <f t="array" ref="G480">_xlfn.IFS(F480="","",G479-F480&lt;1,0,ISBLANK(F480)=TRUE,"",G479-F480&gt;1,G479-F480)</f>
        <v/>
      </c>
      <c r="H480" s="31" t="str">
        <f t="shared" si="8"/>
        <v/>
      </c>
      <c r="I480" s="2" t="str" cm="1">
        <f t="array" ref="I480">_xlfn.IFS(OR(D480="",E480="",F480=""),"",MOD(D480,12)&lt;&gt;0,"",MOD(D480,12)=0,"Year End"&amp;" "&amp;D480/12)</f>
        <v/>
      </c>
      <c r="V480">
        <v>469</v>
      </c>
    </row>
    <row r="481" spans="4:22">
      <c r="D481" s="32" t="str">
        <f>IF(V481&lt;=calcs!$F$4,'Loan Calculator'!V481,"")</f>
        <v/>
      </c>
      <c r="E481" s="29" t="str" cm="1">
        <f t="array" ref="E481">_xlfn.IFS(F481="","",G480&lt;F480,G480*calcs!$H$3,$D$8&lt;=0,$M$3-F481,$D$8&gt;0,$M$3-F481+$D$8,G480&lt;F480,G481*calcs!$H$3)</f>
        <v/>
      </c>
      <c r="F481" s="29" t="str" cm="1">
        <f t="array" ref="F481">_xlfn.IFS(F480="","",G480=0,"",G480&lt;1,"",G480&lt;F480,G480,AND(G480&gt;0,$D$8&gt;0),$D$8+($M$3-(G480*calcs!$H$3)),G480&gt;0,$M$3-(G480*calcs!$H$3))</f>
        <v/>
      </c>
      <c r="G481" s="29" t="str" cm="1">
        <f t="array" ref="G481">_xlfn.IFS(F481="","",G480-F481&lt;1,0,ISBLANK(F481)=TRUE,"",G480-F481&gt;1,G480-F481)</f>
        <v/>
      </c>
      <c r="H481" s="33" t="str">
        <f t="shared" si="8"/>
        <v/>
      </c>
      <c r="I481" s="2" t="str" cm="1">
        <f t="array" ref="I481">_xlfn.IFS(OR(D481="",E481="",F481=""),"",MOD(D481,12)&lt;&gt;0,"",MOD(D481,12)=0,"Year End"&amp;" "&amp;D481/12)</f>
        <v/>
      </c>
      <c r="V481">
        <v>470</v>
      </c>
    </row>
    <row r="482" spans="4:22">
      <c r="D482" s="30" t="str">
        <f>IF(V482&lt;=calcs!$F$4,'Loan Calculator'!V482,"")</f>
        <v/>
      </c>
      <c r="E482" s="27" t="str" cm="1">
        <f t="array" ref="E482">_xlfn.IFS(F482="","",G481&lt;F481,G481*calcs!$H$3,$D$8&lt;=0,$M$3-F482,$D$8&gt;0,$M$3-F482+$D$8,G481&lt;F481,G482*calcs!$H$3)</f>
        <v/>
      </c>
      <c r="F482" s="27" t="str" cm="1">
        <f t="array" ref="F482">_xlfn.IFS(F481="","",G481=0,"",G481&lt;1,"",G481&lt;F481,G481,AND(G481&gt;0,$D$8&gt;0),$D$8+($M$3-(G481*calcs!$H$3)),G481&gt;0,$M$3-(G481*calcs!$H$3))</f>
        <v/>
      </c>
      <c r="G482" s="27" t="str" cm="1">
        <f t="array" ref="G482">_xlfn.IFS(F482="","",G481-F482&lt;1,0,ISBLANK(F482)=TRUE,"",G481-F482&gt;1,G481-F482)</f>
        <v/>
      </c>
      <c r="H482" s="31" t="str">
        <f t="shared" si="8"/>
        <v/>
      </c>
      <c r="I482" s="2" t="str" cm="1">
        <f t="array" ref="I482">_xlfn.IFS(OR(D482="",E482="",F482=""),"",MOD(D482,12)&lt;&gt;0,"",MOD(D482,12)=0,"Year End"&amp;" "&amp;D482/12)</f>
        <v/>
      </c>
      <c r="V482">
        <v>471</v>
      </c>
    </row>
    <row r="483" spans="4:22">
      <c r="D483" s="32" t="str">
        <f>IF(V483&lt;=calcs!$F$4,'Loan Calculator'!V483,"")</f>
        <v/>
      </c>
      <c r="E483" s="29" t="str" cm="1">
        <f t="array" ref="E483">_xlfn.IFS(F483="","",G482&lt;F482,G482*calcs!$H$3,$D$8&lt;=0,$M$3-F483,$D$8&gt;0,$M$3-F483+$D$8,G482&lt;F482,G483*calcs!$H$3)</f>
        <v/>
      </c>
      <c r="F483" s="29" t="str" cm="1">
        <f t="array" ref="F483">_xlfn.IFS(F482="","",G482=0,"",G482&lt;1,"",G482&lt;F482,G482,AND(G482&gt;0,$D$8&gt;0),$D$8+($M$3-(G482*calcs!$H$3)),G482&gt;0,$M$3-(G482*calcs!$H$3))</f>
        <v/>
      </c>
      <c r="G483" s="29" t="str" cm="1">
        <f t="array" ref="G483">_xlfn.IFS(F483="","",G482-F483&lt;1,0,ISBLANK(F483)=TRUE,"",G482-F483&gt;1,G482-F483)</f>
        <v/>
      </c>
      <c r="H483" s="33" t="str">
        <f t="shared" si="8"/>
        <v/>
      </c>
      <c r="I483" s="2" t="str" cm="1">
        <f t="array" ref="I483">_xlfn.IFS(OR(D483="",E483="",F483=""),"",MOD(D483,12)&lt;&gt;0,"",MOD(D483,12)=0,"Year End"&amp;" "&amp;D483/12)</f>
        <v/>
      </c>
      <c r="V483">
        <v>472</v>
      </c>
    </row>
    <row r="484" spans="4:22">
      <c r="D484" s="30" t="str">
        <f>IF(V484&lt;=calcs!$F$4,'Loan Calculator'!V484,"")</f>
        <v/>
      </c>
      <c r="E484" s="27" t="str" cm="1">
        <f t="array" ref="E484">_xlfn.IFS(F484="","",G483&lt;F483,G483*calcs!$H$3,$D$8&lt;=0,$M$3-F484,$D$8&gt;0,$M$3-F484+$D$8,G483&lt;F483,G484*calcs!$H$3)</f>
        <v/>
      </c>
      <c r="F484" s="27" t="str" cm="1">
        <f t="array" ref="F484">_xlfn.IFS(F483="","",G483=0,"",G483&lt;1,"",G483&lt;F483,G483,AND(G483&gt;0,$D$8&gt;0),$D$8+($M$3-(G483*calcs!$H$3)),G483&gt;0,$M$3-(G483*calcs!$H$3))</f>
        <v/>
      </c>
      <c r="G484" s="27" t="str" cm="1">
        <f t="array" ref="G484">_xlfn.IFS(F484="","",G483-F484&lt;1,0,ISBLANK(F484)=TRUE,"",G483-F484&gt;1,G483-F484)</f>
        <v/>
      </c>
      <c r="H484" s="31" t="str">
        <f t="shared" si="8"/>
        <v/>
      </c>
      <c r="I484" s="2" t="str" cm="1">
        <f t="array" ref="I484">_xlfn.IFS(OR(D484="",E484="",F484=""),"",MOD(D484,12)&lt;&gt;0,"",MOD(D484,12)=0,"Year End"&amp;" "&amp;D484/12)</f>
        <v/>
      </c>
      <c r="V484">
        <v>473</v>
      </c>
    </row>
    <row r="485" spans="4:22">
      <c r="D485" s="32" t="str">
        <f>IF(V485&lt;=calcs!$F$4,'Loan Calculator'!V485,"")</f>
        <v/>
      </c>
      <c r="E485" s="29" t="str" cm="1">
        <f t="array" ref="E485">_xlfn.IFS(F485="","",G484&lt;F484,G484*calcs!$H$3,$D$8&lt;=0,$M$3-F485,$D$8&gt;0,$M$3-F485+$D$8,G484&lt;F484,G485*calcs!$H$3)</f>
        <v/>
      </c>
      <c r="F485" s="29" t="str" cm="1">
        <f t="array" ref="F485">_xlfn.IFS(F484="","",G484=0,"",G484&lt;1,"",G484&lt;F484,G484,AND(G484&gt;0,$D$8&gt;0),$D$8+($M$3-(G484*calcs!$H$3)),G484&gt;0,$M$3-(G484*calcs!$H$3))</f>
        <v/>
      </c>
      <c r="G485" s="29" t="str" cm="1">
        <f t="array" ref="G485">_xlfn.IFS(F485="","",G484-F485&lt;1,0,ISBLANK(F485)=TRUE,"",G484-F485&gt;1,G484-F485)</f>
        <v/>
      </c>
      <c r="H485" s="33" t="str">
        <f t="shared" si="8"/>
        <v/>
      </c>
      <c r="I485" s="2" t="str" cm="1">
        <f t="array" ref="I485">_xlfn.IFS(OR(D485="",E485="",F485=""),"",MOD(D485,12)&lt;&gt;0,"",MOD(D485,12)=0,"Year End"&amp;" "&amp;D485/12)</f>
        <v/>
      </c>
      <c r="V485">
        <v>474</v>
      </c>
    </row>
    <row r="486" spans="4:22">
      <c r="D486" s="30" t="str">
        <f>IF(V486&lt;=calcs!$F$4,'Loan Calculator'!V486,"")</f>
        <v/>
      </c>
      <c r="E486" s="27" t="str" cm="1">
        <f t="array" ref="E486">_xlfn.IFS(F486="","",G485&lt;F485,G485*calcs!$H$3,$D$8&lt;=0,$M$3-F486,$D$8&gt;0,$M$3-F486+$D$8,G485&lt;F485,G486*calcs!$H$3)</f>
        <v/>
      </c>
      <c r="F486" s="27" t="str" cm="1">
        <f t="array" ref="F486">_xlfn.IFS(F485="","",G485=0,"",G485&lt;1,"",G485&lt;F485,G485,AND(G485&gt;0,$D$8&gt;0),$D$8+($M$3-(G485*calcs!$H$3)),G485&gt;0,$M$3-(G485*calcs!$H$3))</f>
        <v/>
      </c>
      <c r="G486" s="27" t="str" cm="1">
        <f t="array" ref="G486">_xlfn.IFS(F486="","",G485-F486&lt;1,0,ISBLANK(F486)=TRUE,"",G485-F486&gt;1,G485-F486)</f>
        <v/>
      </c>
      <c r="H486" s="31" t="str">
        <f t="shared" si="8"/>
        <v/>
      </c>
      <c r="I486" s="2" t="str" cm="1">
        <f t="array" ref="I486">_xlfn.IFS(OR(D486="",E486="",F486=""),"",MOD(D486,12)&lt;&gt;0,"",MOD(D486,12)=0,"Year End"&amp;" "&amp;D486/12)</f>
        <v/>
      </c>
      <c r="V486">
        <v>475</v>
      </c>
    </row>
    <row r="487" spans="4:22">
      <c r="D487" s="32" t="str">
        <f>IF(V487&lt;=calcs!$F$4,'Loan Calculator'!V487,"")</f>
        <v/>
      </c>
      <c r="E487" s="29" t="str" cm="1">
        <f t="array" ref="E487">_xlfn.IFS(F487="","",G486&lt;F486,G486*calcs!$H$3,$D$8&lt;=0,$M$3-F487,$D$8&gt;0,$M$3-F487+$D$8,G486&lt;F486,G487*calcs!$H$3)</f>
        <v/>
      </c>
      <c r="F487" s="29" t="str" cm="1">
        <f t="array" ref="F487">_xlfn.IFS(F486="","",G486=0,"",G486&lt;1,"",G486&lt;F486,G486,AND(G486&gt;0,$D$8&gt;0),$D$8+($M$3-(G486*calcs!$H$3)),G486&gt;0,$M$3-(G486*calcs!$H$3))</f>
        <v/>
      </c>
      <c r="G487" s="29" t="str" cm="1">
        <f t="array" ref="G487">_xlfn.IFS(F487="","",G486-F487&lt;1,0,ISBLANK(F487)=TRUE,"",G486-F487&gt;1,G486-F487)</f>
        <v/>
      </c>
      <c r="H487" s="33" t="str">
        <f t="shared" si="8"/>
        <v/>
      </c>
      <c r="I487" s="2" t="str" cm="1">
        <f t="array" ref="I487">_xlfn.IFS(OR(D487="",E487="",F487=""),"",MOD(D487,12)&lt;&gt;0,"",MOD(D487,12)=0,"Year End"&amp;" "&amp;D487/12)</f>
        <v/>
      </c>
      <c r="V487">
        <v>476</v>
      </c>
    </row>
    <row r="488" spans="4:22">
      <c r="D488" s="30" t="str">
        <f>IF(V488&lt;=calcs!$F$4,'Loan Calculator'!V488,"")</f>
        <v/>
      </c>
      <c r="E488" s="27" t="str" cm="1">
        <f t="array" ref="E488">_xlfn.IFS(F488="","",G487&lt;F487,G487*calcs!$H$3,$D$8&lt;=0,$M$3-F488,$D$8&gt;0,$M$3-F488+$D$8,G487&lt;F487,G488*calcs!$H$3)</f>
        <v/>
      </c>
      <c r="F488" s="27" t="str" cm="1">
        <f t="array" ref="F488">_xlfn.IFS(F487="","",G487=0,"",G487&lt;1,"",G487&lt;F487,G487,AND(G487&gt;0,$D$8&gt;0),$D$8+($M$3-(G487*calcs!$H$3)),G487&gt;0,$M$3-(G487*calcs!$H$3))</f>
        <v/>
      </c>
      <c r="G488" s="27" t="str" cm="1">
        <f t="array" ref="G488">_xlfn.IFS(F488="","",G487-F488&lt;1,0,ISBLANK(F488)=TRUE,"",G487-F488&gt;1,G487-F488)</f>
        <v/>
      </c>
      <c r="H488" s="31" t="str">
        <f t="shared" si="8"/>
        <v/>
      </c>
      <c r="I488" s="2" t="str" cm="1">
        <f t="array" ref="I488">_xlfn.IFS(OR(D488="",E488="",F488=""),"",MOD(D488,12)&lt;&gt;0,"",MOD(D488,12)=0,"Year End"&amp;" "&amp;D488/12)</f>
        <v/>
      </c>
      <c r="V488">
        <v>477</v>
      </c>
    </row>
    <row r="489" spans="4:22">
      <c r="D489" s="32" t="str">
        <f>IF(V489&lt;=calcs!$F$4,'Loan Calculator'!V489,"")</f>
        <v/>
      </c>
      <c r="E489" s="29" t="str" cm="1">
        <f t="array" ref="E489">_xlfn.IFS(F489="","",G488&lt;F488,G488*calcs!$H$3,$D$8&lt;=0,$M$3-F489,$D$8&gt;0,$M$3-F489+$D$8,G488&lt;F488,G489*calcs!$H$3)</f>
        <v/>
      </c>
      <c r="F489" s="29" t="str" cm="1">
        <f t="array" ref="F489">_xlfn.IFS(F488="","",G488=0,"",G488&lt;1,"",G488&lt;F488,G488,AND(G488&gt;0,$D$8&gt;0),$D$8+($M$3-(G488*calcs!$H$3)),G488&gt;0,$M$3-(G488*calcs!$H$3))</f>
        <v/>
      </c>
      <c r="G489" s="29" t="str" cm="1">
        <f t="array" ref="G489">_xlfn.IFS(F489="","",G488-F489&lt;1,0,ISBLANK(F489)=TRUE,"",G488-F489&gt;1,G488-F489)</f>
        <v/>
      </c>
      <c r="H489" s="33" t="str">
        <f t="shared" si="8"/>
        <v/>
      </c>
      <c r="I489" s="2" t="str" cm="1">
        <f t="array" ref="I489">_xlfn.IFS(OR(D489="",E489="",F489=""),"",MOD(D489,12)&lt;&gt;0,"",MOD(D489,12)=0,"Year End"&amp;" "&amp;D489/12)</f>
        <v/>
      </c>
      <c r="V489">
        <v>478</v>
      </c>
    </row>
    <row r="490" spans="4:22">
      <c r="D490" s="30" t="str">
        <f>IF(V490&lt;=calcs!$F$4,'Loan Calculator'!V490,"")</f>
        <v/>
      </c>
      <c r="E490" s="27" t="str" cm="1">
        <f t="array" ref="E490">_xlfn.IFS(F490="","",G489&lt;F489,G489*calcs!$H$3,$D$8&lt;=0,$M$3-F490,$D$8&gt;0,$M$3-F490+$D$8,G489&lt;F489,G490*calcs!$H$3)</f>
        <v/>
      </c>
      <c r="F490" s="27" t="str" cm="1">
        <f t="array" ref="F490">_xlfn.IFS(F489="","",G489=0,"",G489&lt;1,"",G489&lt;F489,G489,AND(G489&gt;0,$D$8&gt;0),$D$8+($M$3-(G489*calcs!$H$3)),G489&gt;0,$M$3-(G489*calcs!$H$3))</f>
        <v/>
      </c>
      <c r="G490" s="27" t="str" cm="1">
        <f t="array" ref="G490">_xlfn.IFS(F490="","",G489-F490&lt;1,0,ISBLANK(F490)=TRUE,"",G489-F490&gt;1,G489-F490)</f>
        <v/>
      </c>
      <c r="H490" s="31" t="str">
        <f t="shared" si="8"/>
        <v/>
      </c>
      <c r="I490" s="2" t="str" cm="1">
        <f t="array" ref="I490">_xlfn.IFS(OR(D490="",E490="",F490=""),"",MOD(D490,12)&lt;&gt;0,"",MOD(D490,12)=0,"Year End"&amp;" "&amp;D490/12)</f>
        <v/>
      </c>
      <c r="V490">
        <v>479</v>
      </c>
    </row>
    <row r="491" spans="4:22">
      <c r="D491" s="32" t="str">
        <f>IF(V491&lt;=calcs!$F$4,'Loan Calculator'!V491,"")</f>
        <v/>
      </c>
      <c r="E491" s="29" t="str" cm="1">
        <f t="array" ref="E491">_xlfn.IFS(F491="","",G490&lt;F490,G490*calcs!$H$3,$D$8&lt;=0,$M$3-F491,$D$8&gt;0,$M$3-F491+$D$8,G490&lt;F490,G491*calcs!$H$3)</f>
        <v/>
      </c>
      <c r="F491" s="29" t="str" cm="1">
        <f t="array" ref="F491">_xlfn.IFS(F490="","",G490=0,"",G490&lt;1,"",G490&lt;F490,G490,AND(G490&gt;0,$D$8&gt;0),$D$8+($M$3-(G490*calcs!$H$3)),G490&gt;0,$M$3-(G490*calcs!$H$3))</f>
        <v/>
      </c>
      <c r="G491" s="29" t="str" cm="1">
        <f t="array" ref="G491">_xlfn.IFS(F491="","",G490-F491&lt;1,0,ISBLANK(F491)=TRUE,"",G490-F491&gt;1,G490-F491)</f>
        <v/>
      </c>
      <c r="H491" s="33" t="str">
        <f t="shared" si="8"/>
        <v/>
      </c>
      <c r="I491" s="2" t="str" cm="1">
        <f t="array" ref="I491">_xlfn.IFS(OR(D491="",E491="",F491=""),"",MOD(D491,12)&lt;&gt;0,"",MOD(D491,12)=0,"Year End"&amp;" "&amp;D491/12)</f>
        <v/>
      </c>
      <c r="V491">
        <v>480</v>
      </c>
    </row>
    <row r="492" spans="4:22">
      <c r="D492" s="30" t="str">
        <f>IF(V492&lt;=calcs!$F$4,'Loan Calculator'!V492,"")</f>
        <v/>
      </c>
      <c r="E492" s="27" t="str" cm="1">
        <f t="array" ref="E492">_xlfn.IFS(F492="","",G491&lt;F491,G491*calcs!$H$3,$D$8&lt;=0,$M$3-F492,$D$8&gt;0,$M$3-F492+$D$8,G491&lt;F491,G492*calcs!$H$3)</f>
        <v/>
      </c>
      <c r="F492" s="27" t="str" cm="1">
        <f t="array" ref="F492">_xlfn.IFS(F491="","",G491=0,"",G491&lt;1,"",G491&lt;F491,G491,AND(G491&gt;0,$D$8&gt;0),$D$8+($M$3-(G491*calcs!$H$3)),G491&gt;0,$M$3-(G491*calcs!$H$3))</f>
        <v/>
      </c>
      <c r="G492" s="27" t="str" cm="1">
        <f t="array" ref="G492">_xlfn.IFS(F492="","",G491-F492&lt;1,0,ISBLANK(F492)=TRUE,"",G491-F492&gt;1,G491-F492)</f>
        <v/>
      </c>
      <c r="H492" s="31" t="str">
        <f t="shared" si="8"/>
        <v/>
      </c>
      <c r="I492" s="2" t="str" cm="1">
        <f t="array" ref="I492">_xlfn.IFS(OR(D492="",E492="",F492=""),"",MOD(D492,12)&lt;&gt;0,"",MOD(D492,12)=0,"Year End"&amp;" "&amp;D492/12)</f>
        <v/>
      </c>
      <c r="V492">
        <v>481</v>
      </c>
    </row>
    <row r="493" spans="4:22">
      <c r="D493" s="32" t="str">
        <f>IF(V493&lt;=calcs!$F$4,'Loan Calculator'!V493,"")</f>
        <v/>
      </c>
      <c r="E493" s="29" t="str" cm="1">
        <f t="array" ref="E493">_xlfn.IFS(F493="","",G492&lt;F492,G492*calcs!$H$3,$D$8&lt;=0,$M$3-F493,$D$8&gt;0,$M$3-F493+$D$8,G492&lt;F492,G493*calcs!$H$3)</f>
        <v/>
      </c>
      <c r="F493" s="29" t="str" cm="1">
        <f t="array" ref="F493">_xlfn.IFS(F492="","",G492=0,"",G492&lt;1,"",G492&lt;F492,G492,AND(G492&gt;0,$D$8&gt;0),$D$8+($M$3-(G492*calcs!$H$3)),G492&gt;0,$M$3-(G492*calcs!$H$3))</f>
        <v/>
      </c>
      <c r="G493" s="29" t="str" cm="1">
        <f t="array" ref="G493">_xlfn.IFS(F493="","",G492-F493&lt;1,0,ISBLANK(F493)=TRUE,"",G492-F493&gt;1,G492-F493)</f>
        <v/>
      </c>
      <c r="H493" s="33" t="str">
        <f t="shared" si="8"/>
        <v/>
      </c>
      <c r="I493" s="2" t="str" cm="1">
        <f t="array" ref="I493">_xlfn.IFS(OR(D493="",E493="",F493=""),"",MOD(D493,12)&lt;&gt;0,"",MOD(D493,12)=0,"Year End"&amp;" "&amp;D493/12)</f>
        <v/>
      </c>
      <c r="V493">
        <v>482</v>
      </c>
    </row>
    <row r="494" spans="4:22">
      <c r="D494" s="30" t="str">
        <f>IF(V494&lt;=calcs!$F$4,'Loan Calculator'!V494,"")</f>
        <v/>
      </c>
      <c r="E494" s="27" t="str" cm="1">
        <f t="array" ref="E494">_xlfn.IFS(F494="","",G493&lt;F493,G493*calcs!$H$3,$D$8&lt;=0,$M$3-F494,$D$8&gt;0,$M$3-F494+$D$8,G493&lt;F493,G494*calcs!$H$3)</f>
        <v/>
      </c>
      <c r="F494" s="27" t="str" cm="1">
        <f t="array" ref="F494">_xlfn.IFS(F493="","",G493=0,"",G493&lt;1,"",G493&lt;F493,G493,AND(G493&gt;0,$D$8&gt;0),$D$8+($M$3-(G493*calcs!$H$3)),G493&gt;0,$M$3-(G493*calcs!$H$3))</f>
        <v/>
      </c>
      <c r="G494" s="27" t="str" cm="1">
        <f t="array" ref="G494">_xlfn.IFS(F494="","",G493-F494&lt;1,0,ISBLANK(F494)=TRUE,"",G493-F494&gt;1,G493-F494)</f>
        <v/>
      </c>
      <c r="H494" s="31" t="str">
        <f t="shared" si="8"/>
        <v/>
      </c>
      <c r="I494" s="2" t="str" cm="1">
        <f t="array" ref="I494">_xlfn.IFS(OR(D494="",E494="",F494=""),"",MOD(D494,12)&lt;&gt;0,"",MOD(D494,12)=0,"Year End"&amp;" "&amp;D494/12)</f>
        <v/>
      </c>
      <c r="V494">
        <v>483</v>
      </c>
    </row>
    <row r="495" spans="4:22">
      <c r="D495" s="32" t="str">
        <f>IF(V495&lt;=calcs!$F$4,'Loan Calculator'!V495,"")</f>
        <v/>
      </c>
      <c r="E495" s="29" t="str" cm="1">
        <f t="array" ref="E495">_xlfn.IFS(F495="","",G494&lt;F494,G494*calcs!$H$3,$D$8&lt;=0,$M$3-F495,$D$8&gt;0,$M$3-F495+$D$8,G494&lt;F494,G495*calcs!$H$3)</f>
        <v/>
      </c>
      <c r="F495" s="29" t="str" cm="1">
        <f t="array" ref="F495">_xlfn.IFS(F494="","",G494=0,"",G494&lt;1,"",G494&lt;F494,G494,AND(G494&gt;0,$D$8&gt;0),$D$8+($M$3-(G494*calcs!$H$3)),G494&gt;0,$M$3-(G494*calcs!$H$3))</f>
        <v/>
      </c>
      <c r="G495" s="29" t="str" cm="1">
        <f t="array" ref="G495">_xlfn.IFS(F495="","",G494-F495&lt;1,0,ISBLANK(F495)=TRUE,"",G494-F495&gt;1,G494-F495)</f>
        <v/>
      </c>
      <c r="H495" s="33" t="str">
        <f t="shared" si="8"/>
        <v/>
      </c>
      <c r="I495" s="2" t="str" cm="1">
        <f t="array" ref="I495">_xlfn.IFS(OR(D495="",E495="",F495=""),"",MOD(D495,12)&lt;&gt;0,"",MOD(D495,12)=0,"Year End"&amp;" "&amp;D495/12)</f>
        <v/>
      </c>
      <c r="V495">
        <v>484</v>
      </c>
    </row>
    <row r="496" spans="4:22">
      <c r="D496" s="30" t="str">
        <f>IF(V496&lt;=calcs!$F$4,'Loan Calculator'!V496,"")</f>
        <v/>
      </c>
      <c r="E496" s="27" t="str" cm="1">
        <f t="array" ref="E496">_xlfn.IFS(F496="","",G495&lt;F495,G495*calcs!$H$3,$D$8&lt;=0,$M$3-F496,$D$8&gt;0,$M$3-F496+$D$8,G495&lt;F495,G496*calcs!$H$3)</f>
        <v/>
      </c>
      <c r="F496" s="27" t="str" cm="1">
        <f t="array" ref="F496">_xlfn.IFS(F495="","",G495=0,"",G495&lt;1,"",G495&lt;F495,G495,AND(G495&gt;0,$D$8&gt;0),$D$8+($M$3-(G495*calcs!$H$3)),G495&gt;0,$M$3-(G495*calcs!$H$3))</f>
        <v/>
      </c>
      <c r="G496" s="27" t="str" cm="1">
        <f t="array" ref="G496">_xlfn.IFS(F496="","",G495-F496&lt;1,0,ISBLANK(F496)=TRUE,"",G495-F496&gt;1,G495-F496)</f>
        <v/>
      </c>
      <c r="H496" s="31" t="str">
        <f t="shared" si="8"/>
        <v/>
      </c>
      <c r="I496" s="2" t="str" cm="1">
        <f t="array" ref="I496">_xlfn.IFS(OR(D496="",E496="",F496=""),"",MOD(D496,12)&lt;&gt;0,"",MOD(D496,12)=0,"Year End"&amp;" "&amp;D496/12)</f>
        <v/>
      </c>
      <c r="V496">
        <v>485</v>
      </c>
    </row>
    <row r="497" spans="4:22">
      <c r="D497" s="32" t="str">
        <f>IF(V497&lt;=calcs!$F$4,'Loan Calculator'!V497,"")</f>
        <v/>
      </c>
      <c r="E497" s="29" t="str" cm="1">
        <f t="array" ref="E497">_xlfn.IFS(F497="","",G496&lt;F496,G496*calcs!$H$3,$D$8&lt;=0,$M$3-F497,$D$8&gt;0,$M$3-F497+$D$8,G496&lt;F496,G497*calcs!$H$3)</f>
        <v/>
      </c>
      <c r="F497" s="29" t="str" cm="1">
        <f t="array" ref="F497">_xlfn.IFS(F496="","",G496=0,"",G496&lt;1,"",G496&lt;F496,G496,AND(G496&gt;0,$D$8&gt;0),$D$8+($M$3-(G496*calcs!$H$3)),G496&gt;0,$M$3-(G496*calcs!$H$3))</f>
        <v/>
      </c>
      <c r="G497" s="29" t="str" cm="1">
        <f t="array" ref="G497">_xlfn.IFS(F497="","",G496-F497&lt;1,0,ISBLANK(F497)=TRUE,"",G496-F497&gt;1,G496-F497)</f>
        <v/>
      </c>
      <c r="H497" s="33" t="str">
        <f t="shared" si="8"/>
        <v/>
      </c>
      <c r="I497" s="2" t="str" cm="1">
        <f t="array" ref="I497">_xlfn.IFS(OR(D497="",E497="",F497=""),"",MOD(D497,12)&lt;&gt;0,"",MOD(D497,12)=0,"Year End"&amp;" "&amp;D497/12)</f>
        <v/>
      </c>
      <c r="V497">
        <v>486</v>
      </c>
    </row>
    <row r="498" spans="4:22">
      <c r="D498" s="30" t="str">
        <f>IF(V498&lt;=calcs!$F$4,'Loan Calculator'!V498,"")</f>
        <v/>
      </c>
      <c r="E498" s="27" t="str" cm="1">
        <f t="array" ref="E498">_xlfn.IFS(F498="","",G497&lt;F497,G497*calcs!$H$3,$D$8&lt;=0,$M$3-F498,$D$8&gt;0,$M$3-F498+$D$8,G497&lt;F497,G498*calcs!$H$3)</f>
        <v/>
      </c>
      <c r="F498" s="27" t="str" cm="1">
        <f t="array" ref="F498">_xlfn.IFS(F497="","",G497=0,"",G497&lt;1,"",G497&lt;F497,G497,AND(G497&gt;0,$D$8&gt;0),$D$8+($M$3-(G497*calcs!$H$3)),G497&gt;0,$M$3-(G497*calcs!$H$3))</f>
        <v/>
      </c>
      <c r="G498" s="27" t="str" cm="1">
        <f t="array" ref="G498">_xlfn.IFS(F498="","",G497-F498&lt;1,0,ISBLANK(F498)=TRUE,"",G497-F498&gt;1,G497-F498)</f>
        <v/>
      </c>
      <c r="H498" s="31" t="str">
        <f t="shared" si="8"/>
        <v/>
      </c>
      <c r="I498" s="2" t="str" cm="1">
        <f t="array" ref="I498">_xlfn.IFS(OR(D498="",E498="",F498=""),"",MOD(D498,12)&lt;&gt;0,"",MOD(D498,12)=0,"Year End"&amp;" "&amp;D498/12)</f>
        <v/>
      </c>
      <c r="V498">
        <v>487</v>
      </c>
    </row>
    <row r="499" spans="4:22">
      <c r="D499" s="32" t="str">
        <f>IF(V499&lt;=calcs!$F$4,'Loan Calculator'!V499,"")</f>
        <v/>
      </c>
      <c r="E499" s="29" t="str" cm="1">
        <f t="array" ref="E499">_xlfn.IFS(F499="","",G498&lt;F498,G498*calcs!$H$3,$D$8&lt;=0,$M$3-F499,$D$8&gt;0,$M$3-F499+$D$8,G498&lt;F498,G499*calcs!$H$3)</f>
        <v/>
      </c>
      <c r="F499" s="29" t="str" cm="1">
        <f t="array" ref="F499">_xlfn.IFS(F498="","",G498=0,"",G498&lt;1,"",G498&lt;F498,G498,AND(G498&gt;0,$D$8&gt;0),$D$8+($M$3-(G498*calcs!$H$3)),G498&gt;0,$M$3-(G498*calcs!$H$3))</f>
        <v/>
      </c>
      <c r="G499" s="29" t="str" cm="1">
        <f t="array" ref="G499">_xlfn.IFS(F499="","",G498-F499&lt;1,0,ISBLANK(F499)=TRUE,"",G498-F499&gt;1,G498-F499)</f>
        <v/>
      </c>
      <c r="H499" s="33" t="str">
        <f t="shared" si="8"/>
        <v/>
      </c>
      <c r="I499" s="2" t="str" cm="1">
        <f t="array" ref="I499">_xlfn.IFS(OR(D499="",E499="",F499=""),"",MOD(D499,12)&lt;&gt;0,"",MOD(D499,12)=0,"Year End"&amp;" "&amp;D499/12)</f>
        <v/>
      </c>
      <c r="V499">
        <v>488</v>
      </c>
    </row>
    <row r="500" spans="4:22">
      <c r="D500" s="30" t="str">
        <f>IF(V500&lt;=calcs!$F$4,'Loan Calculator'!V500,"")</f>
        <v/>
      </c>
      <c r="E500" s="27" t="str" cm="1">
        <f t="array" ref="E500">_xlfn.IFS(F500="","",G499&lt;F499,G499*calcs!$H$3,$D$8&lt;=0,$M$3-F500,$D$8&gt;0,$M$3-F500+$D$8,G499&lt;F499,G500*calcs!$H$3)</f>
        <v/>
      </c>
      <c r="F500" s="27" t="str" cm="1">
        <f t="array" ref="F500">_xlfn.IFS(F499="","",G499=0,"",G499&lt;1,"",G499&lt;F499,G499,AND(G499&gt;0,$D$8&gt;0),$D$8+($M$3-(G499*calcs!$H$3)),G499&gt;0,$M$3-(G499*calcs!$H$3))</f>
        <v/>
      </c>
      <c r="G500" s="27" t="str" cm="1">
        <f t="array" ref="G500">_xlfn.IFS(F500="","",G499-F500&lt;1,0,ISBLANK(F500)=TRUE,"",G499-F500&gt;1,G499-F500)</f>
        <v/>
      </c>
      <c r="H500" s="31" t="str">
        <f t="shared" si="8"/>
        <v/>
      </c>
      <c r="I500" s="2" t="str" cm="1">
        <f t="array" ref="I500">_xlfn.IFS(OR(D500="",E500="",F500=""),"",MOD(D500,12)&lt;&gt;0,"",MOD(D500,12)=0,"Year End"&amp;" "&amp;D500/12)</f>
        <v/>
      </c>
      <c r="V500">
        <v>489</v>
      </c>
    </row>
    <row r="501" spans="4:22">
      <c r="D501" s="32" t="str">
        <f>IF(V501&lt;=calcs!$F$4,'Loan Calculator'!V501,"")</f>
        <v/>
      </c>
      <c r="E501" s="29" t="str" cm="1">
        <f t="array" ref="E501">_xlfn.IFS(F501="","",G500&lt;F500,G500*calcs!$H$3,$D$8&lt;=0,$M$3-F501,$D$8&gt;0,$M$3-F501+$D$8,G500&lt;F500,G501*calcs!$H$3)</f>
        <v/>
      </c>
      <c r="F501" s="29" t="str" cm="1">
        <f t="array" ref="F501">_xlfn.IFS(F500="","",G500=0,"",G500&lt;1,"",G500&lt;F500,G500,AND(G500&gt;0,$D$8&gt;0),$D$8+($M$3-(G500*calcs!$H$3)),G500&gt;0,$M$3-(G500*calcs!$H$3))</f>
        <v/>
      </c>
      <c r="G501" s="29" t="str" cm="1">
        <f t="array" ref="G501">_xlfn.IFS(F501="","",G500-F501&lt;1,0,ISBLANK(F501)=TRUE,"",G500-F501&gt;1,G500-F501)</f>
        <v/>
      </c>
      <c r="H501" s="33" t="str">
        <f t="shared" si="8"/>
        <v/>
      </c>
      <c r="I501" s="2" t="str" cm="1">
        <f t="array" ref="I501">_xlfn.IFS(OR(D501="",E501="",F501=""),"",MOD(D501,12)&lt;&gt;0,"",MOD(D501,12)=0,"Year End"&amp;" "&amp;D501/12)</f>
        <v/>
      </c>
      <c r="V501">
        <v>490</v>
      </c>
    </row>
    <row r="502" spans="4:22">
      <c r="D502" s="30" t="str">
        <f>IF(V502&lt;=calcs!$F$4,'Loan Calculator'!V502,"")</f>
        <v/>
      </c>
      <c r="E502" s="27" t="str" cm="1">
        <f t="array" ref="E502">_xlfn.IFS(F502="","",G501&lt;F501,G501*calcs!$H$3,$D$8&lt;=0,$M$3-F502,$D$8&gt;0,$M$3-F502+$D$8,G501&lt;F501,G502*calcs!$H$3)</f>
        <v/>
      </c>
      <c r="F502" s="27" t="str" cm="1">
        <f t="array" ref="F502">_xlfn.IFS(F501="","",G501=0,"",G501&lt;1,"",G501&lt;F501,G501,AND(G501&gt;0,$D$8&gt;0),$D$8+($M$3-(G501*calcs!$H$3)),G501&gt;0,$M$3-(G501*calcs!$H$3))</f>
        <v/>
      </c>
      <c r="G502" s="27" t="str" cm="1">
        <f t="array" ref="G502">_xlfn.IFS(F502="","",G501-F502&lt;1,0,ISBLANK(F502)=TRUE,"",G501-F502&gt;1,G501-F502)</f>
        <v/>
      </c>
      <c r="H502" s="31" t="str">
        <f t="shared" si="8"/>
        <v/>
      </c>
      <c r="I502" s="2" t="str" cm="1">
        <f t="array" ref="I502">_xlfn.IFS(OR(D502="",E502="",F502=""),"",MOD(D502,12)&lt;&gt;0,"",MOD(D502,12)=0,"Year End"&amp;" "&amp;D502/12)</f>
        <v/>
      </c>
      <c r="V502">
        <v>491</v>
      </c>
    </row>
    <row r="503" spans="4:22">
      <c r="D503" s="32" t="str">
        <f>IF(V503&lt;=calcs!$F$4,'Loan Calculator'!V503,"")</f>
        <v/>
      </c>
      <c r="E503" s="29" t="str" cm="1">
        <f t="array" ref="E503">_xlfn.IFS(F503="","",G502&lt;F502,G502*calcs!$H$3,$D$8&lt;=0,$M$3-F503,$D$8&gt;0,$M$3-F503+$D$8,G502&lt;F502,G503*calcs!$H$3)</f>
        <v/>
      </c>
      <c r="F503" s="29" t="str" cm="1">
        <f t="array" ref="F503">_xlfn.IFS(F502="","",G502=0,"",G502&lt;1,"",G502&lt;F502,G502,AND(G502&gt;0,$D$8&gt;0),$D$8+($M$3-(G502*calcs!$H$3)),G502&gt;0,$M$3-(G502*calcs!$H$3))</f>
        <v/>
      </c>
      <c r="G503" s="29" t="str" cm="1">
        <f t="array" ref="G503">_xlfn.IFS(F503="","",G502-F503&lt;1,0,ISBLANK(F503)=TRUE,"",G502-F503&gt;1,G502-F503)</f>
        <v/>
      </c>
      <c r="H503" s="33" t="str">
        <f t="shared" si="8"/>
        <v/>
      </c>
      <c r="I503" s="2" t="str" cm="1">
        <f t="array" ref="I503">_xlfn.IFS(OR(D503="",E503="",F503=""),"",MOD(D503,12)&lt;&gt;0,"",MOD(D503,12)=0,"Year End"&amp;" "&amp;D503/12)</f>
        <v/>
      </c>
      <c r="V503">
        <v>492</v>
      </c>
    </row>
    <row r="504" spans="4:22">
      <c r="D504" s="30" t="str">
        <f>IF(V504&lt;=calcs!$F$4,'Loan Calculator'!V504,"")</f>
        <v/>
      </c>
      <c r="E504" s="27" t="str" cm="1">
        <f t="array" ref="E504">_xlfn.IFS(F504="","",G503&lt;F503,G503*calcs!$H$3,$D$8&lt;=0,$M$3-F504,$D$8&gt;0,$M$3-F504+$D$8,G503&lt;F503,G504*calcs!$H$3)</f>
        <v/>
      </c>
      <c r="F504" s="27" t="str" cm="1">
        <f t="array" ref="F504">_xlfn.IFS(F503="","",G503=0,"",G503&lt;1,"",G503&lt;F503,G503,AND(G503&gt;0,$D$8&gt;0),$D$8+($M$3-(G503*calcs!$H$3)),G503&gt;0,$M$3-(G503*calcs!$H$3))</f>
        <v/>
      </c>
      <c r="G504" s="27" t="str" cm="1">
        <f t="array" ref="G504">_xlfn.IFS(F504="","",G503-F504&lt;1,0,ISBLANK(F504)=TRUE,"",G503-F504&gt;1,G503-F504)</f>
        <v/>
      </c>
      <c r="H504" s="31" t="str">
        <f t="shared" si="8"/>
        <v/>
      </c>
      <c r="I504" s="2" t="str" cm="1">
        <f t="array" ref="I504">_xlfn.IFS(OR(D504="",E504="",F504=""),"",MOD(D504,12)&lt;&gt;0,"",MOD(D504,12)=0,"Year End"&amp;" "&amp;D504/12)</f>
        <v/>
      </c>
      <c r="V504">
        <v>493</v>
      </c>
    </row>
    <row r="505" spans="4:22">
      <c r="D505" s="32" t="str">
        <f>IF(V505&lt;=calcs!$F$4,'Loan Calculator'!V505,"")</f>
        <v/>
      </c>
      <c r="E505" s="29" t="str" cm="1">
        <f t="array" ref="E505">_xlfn.IFS(F505="","",G504&lt;F504,G504*calcs!$H$3,$D$8&lt;=0,$M$3-F505,$D$8&gt;0,$M$3-F505+$D$8,G504&lt;F504,G505*calcs!$H$3)</f>
        <v/>
      </c>
      <c r="F505" s="29" t="str" cm="1">
        <f t="array" ref="F505">_xlfn.IFS(F504="","",G504=0,"",G504&lt;1,"",G504&lt;F504,G504,AND(G504&gt;0,$D$8&gt;0),$D$8+($M$3-(G504*calcs!$H$3)),G504&gt;0,$M$3-(G504*calcs!$H$3))</f>
        <v/>
      </c>
      <c r="G505" s="29" t="str" cm="1">
        <f t="array" ref="G505">_xlfn.IFS(F505="","",G504-F505&lt;1,0,ISBLANK(F505)=TRUE,"",G504-F505&gt;1,G504-F505)</f>
        <v/>
      </c>
      <c r="H505" s="33" t="str">
        <f t="shared" si="8"/>
        <v/>
      </c>
      <c r="I505" s="2" t="str" cm="1">
        <f t="array" ref="I505">_xlfn.IFS(OR(D505="",E505="",F505=""),"",MOD(D505,12)&lt;&gt;0,"",MOD(D505,12)=0,"Year End"&amp;" "&amp;D505/12)</f>
        <v/>
      </c>
      <c r="V505">
        <v>494</v>
      </c>
    </row>
    <row r="506" spans="4:22">
      <c r="D506" s="30" t="str">
        <f>IF(V506&lt;=calcs!$F$4,'Loan Calculator'!V506,"")</f>
        <v/>
      </c>
      <c r="E506" s="27" t="str" cm="1">
        <f t="array" ref="E506">_xlfn.IFS(F506="","",G505&lt;F505,G505*calcs!$H$3,$D$8&lt;=0,$M$3-F506,$D$8&gt;0,$M$3-F506+$D$8,G505&lt;F505,G506*calcs!$H$3)</f>
        <v/>
      </c>
      <c r="F506" s="27" t="str" cm="1">
        <f t="array" ref="F506">_xlfn.IFS(F505="","",G505=0,"",G505&lt;1,"",G505&lt;F505,G505,AND(G505&gt;0,$D$8&gt;0),$D$8+($M$3-(G505*calcs!$H$3)),G505&gt;0,$M$3-(G505*calcs!$H$3))</f>
        <v/>
      </c>
      <c r="G506" s="27" t="str" cm="1">
        <f t="array" ref="G506">_xlfn.IFS(F506="","",G505-F506&lt;1,0,ISBLANK(F506)=TRUE,"",G505-F506&gt;1,G505-F506)</f>
        <v/>
      </c>
      <c r="H506" s="31" t="str">
        <f t="shared" si="8"/>
        <v/>
      </c>
      <c r="I506" s="2" t="str" cm="1">
        <f t="array" ref="I506">_xlfn.IFS(OR(D506="",E506="",F506=""),"",MOD(D506,12)&lt;&gt;0,"",MOD(D506,12)=0,"Year End"&amp;" "&amp;D506/12)</f>
        <v/>
      </c>
      <c r="V506">
        <v>495</v>
      </c>
    </row>
    <row r="507" spans="4:22">
      <c r="D507" s="32" t="str">
        <f>IF(V507&lt;=calcs!$F$4,'Loan Calculator'!V507,"")</f>
        <v/>
      </c>
      <c r="E507" s="29" t="str" cm="1">
        <f t="array" ref="E507">_xlfn.IFS(F507="","",G506&lt;F506,G506*calcs!$H$3,$D$8&lt;=0,$M$3-F507,$D$8&gt;0,$M$3-F507+$D$8,G506&lt;F506,G507*calcs!$H$3)</f>
        <v/>
      </c>
      <c r="F507" s="29" t="str" cm="1">
        <f t="array" ref="F507">_xlfn.IFS(F506="","",G506=0,"",G506&lt;1,"",G506&lt;F506,G506,AND(G506&gt;0,$D$8&gt;0),$D$8+($M$3-(G506*calcs!$H$3)),G506&gt;0,$M$3-(G506*calcs!$H$3))</f>
        <v/>
      </c>
      <c r="G507" s="29" t="str" cm="1">
        <f t="array" ref="G507">_xlfn.IFS(F507="","",G506-F507&lt;1,0,ISBLANK(F507)=TRUE,"",G506-F507&gt;1,G506-F507)</f>
        <v/>
      </c>
      <c r="H507" s="33" t="str">
        <f t="shared" si="8"/>
        <v/>
      </c>
      <c r="I507" s="2" t="str" cm="1">
        <f t="array" ref="I507">_xlfn.IFS(OR(D507="",E507="",F507=""),"",MOD(D507,12)&lt;&gt;0,"",MOD(D507,12)=0,"Year End"&amp;" "&amp;D507/12)</f>
        <v/>
      </c>
      <c r="V507">
        <v>496</v>
      </c>
    </row>
    <row r="508" spans="4:22">
      <c r="D508" s="30" t="str">
        <f>IF(V508&lt;=calcs!$F$4,'Loan Calculator'!V508,"")</f>
        <v/>
      </c>
      <c r="E508" s="27" t="str" cm="1">
        <f t="array" ref="E508">_xlfn.IFS(F508="","",G507&lt;F507,G507*calcs!$H$3,$D$8&lt;=0,$M$3-F508,$D$8&gt;0,$M$3-F508+$D$8,G507&lt;F507,G508*calcs!$H$3)</f>
        <v/>
      </c>
      <c r="F508" s="27" t="str" cm="1">
        <f t="array" ref="F508">_xlfn.IFS(F507="","",G507=0,"",G507&lt;1,"",G507&lt;F507,G507,AND(G507&gt;0,$D$8&gt;0),$D$8+($M$3-(G507*calcs!$H$3)),G507&gt;0,$M$3-(G507*calcs!$H$3))</f>
        <v/>
      </c>
      <c r="G508" s="27" t="str" cm="1">
        <f t="array" ref="G508">_xlfn.IFS(F508="","",G507-F508&lt;1,0,ISBLANK(F508)=TRUE,"",G507-F508&gt;1,G507-F508)</f>
        <v/>
      </c>
      <c r="H508" s="31" t="str">
        <f t="shared" si="8"/>
        <v/>
      </c>
      <c r="I508" s="2" t="str" cm="1">
        <f t="array" ref="I508">_xlfn.IFS(OR(D508="",E508="",F508=""),"",MOD(D508,12)&lt;&gt;0,"",MOD(D508,12)=0,"Year End"&amp;" "&amp;D508/12)</f>
        <v/>
      </c>
      <c r="V508">
        <v>497</v>
      </c>
    </row>
    <row r="509" spans="4:22">
      <c r="D509" s="32" t="str">
        <f>IF(V509&lt;=calcs!$F$4,'Loan Calculator'!V509,"")</f>
        <v/>
      </c>
      <c r="E509" s="29" t="str" cm="1">
        <f t="array" ref="E509">_xlfn.IFS(F509="","",G508&lt;F508,G508*calcs!$H$3,$D$8&lt;=0,$M$3-F509,$D$8&gt;0,$M$3-F509+$D$8,G508&lt;F508,G509*calcs!$H$3)</f>
        <v/>
      </c>
      <c r="F509" s="29" t="str" cm="1">
        <f t="array" ref="F509">_xlfn.IFS(F508="","",G508=0,"",G508&lt;1,"",G508&lt;F508,G508,AND(G508&gt;0,$D$8&gt;0),$D$8+($M$3-(G508*calcs!$H$3)),G508&gt;0,$M$3-(G508*calcs!$H$3))</f>
        <v/>
      </c>
      <c r="G509" s="29" t="str" cm="1">
        <f t="array" ref="G509">_xlfn.IFS(F509="","",G508-F509&lt;1,0,ISBLANK(F509)=TRUE,"",G508-F509&gt;1,G508-F509)</f>
        <v/>
      </c>
      <c r="H509" s="33" t="str">
        <f t="shared" si="8"/>
        <v/>
      </c>
      <c r="I509" s="2" t="str" cm="1">
        <f t="array" ref="I509">_xlfn.IFS(OR(D509="",E509="",F509=""),"",MOD(D509,12)&lt;&gt;0,"",MOD(D509,12)=0,"Year End"&amp;" "&amp;D509/12)</f>
        <v/>
      </c>
      <c r="V509">
        <v>498</v>
      </c>
    </row>
    <row r="510" spans="4:22">
      <c r="D510" s="30" t="str">
        <f>IF(V510&lt;=calcs!$F$4,'Loan Calculator'!V510,"")</f>
        <v/>
      </c>
      <c r="E510" s="27" t="str" cm="1">
        <f t="array" ref="E510">_xlfn.IFS(F510="","",G509&lt;F509,G509*calcs!$H$3,$D$8&lt;=0,$M$3-F510,$D$8&gt;0,$M$3-F510+$D$8,G509&lt;F509,G510*calcs!$H$3)</f>
        <v/>
      </c>
      <c r="F510" s="27" t="str" cm="1">
        <f t="array" ref="F510">_xlfn.IFS(F509="","",G509=0,"",G509&lt;1,"",G509&lt;F509,G509,AND(G509&gt;0,$D$8&gt;0),$D$8+($M$3-(G509*calcs!$H$3)),G509&gt;0,$M$3-(G509*calcs!$H$3))</f>
        <v/>
      </c>
      <c r="G510" s="27" t="str" cm="1">
        <f t="array" ref="G510">_xlfn.IFS(F510="","",G509-F510&lt;1,0,ISBLANK(F510)=TRUE,"",G509-F510&gt;1,G509-F510)</f>
        <v/>
      </c>
      <c r="H510" s="31" t="str">
        <f t="shared" si="8"/>
        <v/>
      </c>
      <c r="I510" s="2" t="str" cm="1">
        <f t="array" ref="I510">_xlfn.IFS(OR(D510="",E510="",F510=""),"",MOD(D510,12)&lt;&gt;0,"",MOD(D510,12)=0,"Year End"&amp;" "&amp;D510/12)</f>
        <v/>
      </c>
      <c r="V510">
        <v>499</v>
      </c>
    </row>
    <row r="511" spans="4:22">
      <c r="D511" s="32" t="str">
        <f>IF(V511&lt;=calcs!$F$4,'Loan Calculator'!V511,"")</f>
        <v/>
      </c>
      <c r="E511" s="29" t="str" cm="1">
        <f t="array" ref="E511">_xlfn.IFS(F511="","",G510&lt;F510,G510*calcs!$H$3,$D$8&lt;=0,$M$3-F511,$D$8&gt;0,$M$3-F511+$D$8,G510&lt;F510,G511*calcs!$H$3)</f>
        <v/>
      </c>
      <c r="F511" s="29" t="str" cm="1">
        <f t="array" ref="F511">_xlfn.IFS(F510="","",G510=0,"",G510&lt;1,"",G510&lt;F510,G510,AND(G510&gt;0,$D$8&gt;0),$D$8+($M$3-(G510*calcs!$H$3)),G510&gt;0,$M$3-(G510*calcs!$H$3))</f>
        <v/>
      </c>
      <c r="G511" s="29" t="str" cm="1">
        <f t="array" ref="G511">_xlfn.IFS(F511="","",G510-F511&lt;1,0,ISBLANK(F511)=TRUE,"",G510-F511&gt;1,G510-F511)</f>
        <v/>
      </c>
      <c r="H511" s="33" t="str">
        <f t="shared" si="8"/>
        <v/>
      </c>
      <c r="I511" s="2" t="str" cm="1">
        <f t="array" ref="I511">_xlfn.IFS(OR(D511="",E511="",F511=""),"",MOD(D511,12)&lt;&gt;0,"",MOD(D511,12)=0,"Year End"&amp;" "&amp;D511/12)</f>
        <v/>
      </c>
      <c r="V511">
        <v>500</v>
      </c>
    </row>
    <row r="512" spans="4:22">
      <c r="D512" s="30" t="str">
        <f>IF(V512&lt;=calcs!$F$4,'Loan Calculator'!V512,"")</f>
        <v/>
      </c>
      <c r="E512" s="27" t="str" cm="1">
        <f t="array" ref="E512">_xlfn.IFS(F512="","",G511&lt;F511,G511*calcs!$H$3,$D$8&lt;=0,$M$3-F512,$D$8&gt;0,$M$3-F512+$D$8,G511&lt;F511,G512*calcs!$H$3)</f>
        <v/>
      </c>
      <c r="F512" s="27" t="str" cm="1">
        <f t="array" ref="F512">_xlfn.IFS(F511="","",G511=0,"",G511&lt;1,"",G511&lt;F511,G511,AND(G511&gt;0,$D$8&gt;0),$D$8+($M$3-(G511*calcs!$H$3)),G511&gt;0,$M$3-(G511*calcs!$H$3))</f>
        <v/>
      </c>
      <c r="G512" s="27" t="str" cm="1">
        <f t="array" ref="G512">_xlfn.IFS(F512="","",G511-F512&lt;1,0,ISBLANK(F512)=TRUE,"",G511-F512&gt;1,G511-F512)</f>
        <v/>
      </c>
      <c r="H512" s="31" t="str">
        <f t="shared" si="8"/>
        <v/>
      </c>
      <c r="I512" s="2" t="str" cm="1">
        <f t="array" ref="I512">_xlfn.IFS(OR(D512="",E512="",F512=""),"",MOD(D512,12)&lt;&gt;0,"",MOD(D512,12)=0,"Year End"&amp;" "&amp;D512/12)</f>
        <v/>
      </c>
      <c r="V512">
        <v>501</v>
      </c>
    </row>
    <row r="513" spans="4:22">
      <c r="D513" s="32" t="str">
        <f>IF(V513&lt;=calcs!$F$4,'Loan Calculator'!V513,"")</f>
        <v/>
      </c>
      <c r="E513" s="29" t="str" cm="1">
        <f t="array" ref="E513">_xlfn.IFS(F513="","",G512&lt;F512,G512*calcs!$H$3,$D$8&lt;=0,$M$3-F513,$D$8&gt;0,$M$3-F513+$D$8,G512&lt;F512,G513*calcs!$H$3)</f>
        <v/>
      </c>
      <c r="F513" s="29" t="str" cm="1">
        <f t="array" ref="F513">_xlfn.IFS(F512="","",G512=0,"",G512&lt;1,"",G512&lt;F512,G512,AND(G512&gt;0,$D$8&gt;0),$D$8+($M$3-(G512*calcs!$H$3)),G512&gt;0,$M$3-(G512*calcs!$H$3))</f>
        <v/>
      </c>
      <c r="G513" s="29" t="str" cm="1">
        <f t="array" ref="G513">_xlfn.IFS(F513="","",G512-F513&lt;1,0,ISBLANK(F513)=TRUE,"",G512-F513&gt;1,G512-F513)</f>
        <v/>
      </c>
      <c r="H513" s="33" t="str">
        <f t="shared" si="8"/>
        <v/>
      </c>
      <c r="I513" s="2" t="str" cm="1">
        <f t="array" ref="I513">_xlfn.IFS(OR(D513="",E513="",F513=""),"",MOD(D513,12)&lt;&gt;0,"",MOD(D513,12)=0,"Year End"&amp;" "&amp;D513/12)</f>
        <v/>
      </c>
      <c r="V513">
        <v>502</v>
      </c>
    </row>
    <row r="514" spans="4:22">
      <c r="D514" s="30" t="str">
        <f>IF(V514&lt;=calcs!$F$4,'Loan Calculator'!V514,"")</f>
        <v/>
      </c>
      <c r="E514" s="27" t="str" cm="1">
        <f t="array" ref="E514">_xlfn.IFS(F514="","",G513&lt;F513,G513*calcs!$H$3,$D$8&lt;=0,$M$3-F514,$D$8&gt;0,$M$3-F514+$D$8,G513&lt;F513,G514*calcs!$H$3)</f>
        <v/>
      </c>
      <c r="F514" s="27" t="str" cm="1">
        <f t="array" ref="F514">_xlfn.IFS(F513="","",G513=0,"",G513&lt;1,"",G513&lt;F513,G513,AND(G513&gt;0,$D$8&gt;0),$D$8+($M$3-(G513*calcs!$H$3)),G513&gt;0,$M$3-(G513*calcs!$H$3))</f>
        <v/>
      </c>
      <c r="G514" s="27" t="str" cm="1">
        <f t="array" ref="G514">_xlfn.IFS(F514="","",G513-F514&lt;1,0,ISBLANK(F514)=TRUE,"",G513-F514&gt;1,G513-F514)</f>
        <v/>
      </c>
      <c r="H514" s="31" t="str">
        <f t="shared" si="8"/>
        <v/>
      </c>
      <c r="I514" s="2" t="str" cm="1">
        <f t="array" ref="I514">_xlfn.IFS(OR(D514="",E514="",F514=""),"",MOD(D514,12)&lt;&gt;0,"",MOD(D514,12)=0,"Year End"&amp;" "&amp;D514/12)</f>
        <v/>
      </c>
      <c r="V514">
        <v>503</v>
      </c>
    </row>
    <row r="515" spans="4:22">
      <c r="D515" s="32" t="str">
        <f>IF(V515&lt;=calcs!$F$4,'Loan Calculator'!V515,"")</f>
        <v/>
      </c>
      <c r="E515" s="29" t="str" cm="1">
        <f t="array" ref="E515">_xlfn.IFS(F515="","",G514&lt;F514,G514*calcs!$H$3,$D$8&lt;=0,$M$3-F515,$D$8&gt;0,$M$3-F515+$D$8,G514&lt;F514,G515*calcs!$H$3)</f>
        <v/>
      </c>
      <c r="F515" s="29" t="str" cm="1">
        <f t="array" ref="F515">_xlfn.IFS(F514="","",G514=0,"",G514&lt;1,"",G514&lt;F514,G514,AND(G514&gt;0,$D$8&gt;0),$D$8+($M$3-(G514*calcs!$H$3)),G514&gt;0,$M$3-(G514*calcs!$H$3))</f>
        <v/>
      </c>
      <c r="G515" s="29" t="str" cm="1">
        <f t="array" ref="G515">_xlfn.IFS(F515="","",G514-F515&lt;1,0,ISBLANK(F515)=TRUE,"",G514-F515&gt;1,G514-F515)</f>
        <v/>
      </c>
      <c r="H515" s="33" t="str">
        <f t="shared" si="8"/>
        <v/>
      </c>
      <c r="I515" s="2" t="str" cm="1">
        <f t="array" ref="I515">_xlfn.IFS(OR(D515="",E515="",F515=""),"",MOD(D515,12)&lt;&gt;0,"",MOD(D515,12)=0,"Year End"&amp;" "&amp;D515/12)</f>
        <v/>
      </c>
      <c r="V515">
        <v>504</v>
      </c>
    </row>
    <row r="516" spans="4:22">
      <c r="D516" s="30" t="str">
        <f>IF(V516&lt;=calcs!$F$4,'Loan Calculator'!V516,"")</f>
        <v/>
      </c>
      <c r="E516" s="27" t="str" cm="1">
        <f t="array" ref="E516">_xlfn.IFS(F516="","",G515&lt;F515,G515*calcs!$H$3,$D$8&lt;=0,$M$3-F516,$D$8&gt;0,$M$3-F516+$D$8,G515&lt;F515,G516*calcs!$H$3)</f>
        <v/>
      </c>
      <c r="F516" s="27" t="str" cm="1">
        <f t="array" ref="F516">_xlfn.IFS(F515="","",G515=0,"",G515&lt;1,"",G515&lt;F515,G515,AND(G515&gt;0,$D$8&gt;0),$D$8+($M$3-(G515*calcs!$H$3)),G515&gt;0,$M$3-(G515*calcs!$H$3))</f>
        <v/>
      </c>
      <c r="G516" s="27" t="str" cm="1">
        <f t="array" ref="G516">_xlfn.IFS(F516="","",G515-F516&lt;1,0,ISBLANK(F516)=TRUE,"",G515-F516&gt;1,G515-F516)</f>
        <v/>
      </c>
      <c r="H516" s="31" t="str">
        <f t="shared" si="8"/>
        <v/>
      </c>
      <c r="I516" s="2" t="str" cm="1">
        <f t="array" ref="I516">_xlfn.IFS(OR(D516="",E516="",F516=""),"",MOD(D516,12)&lt;&gt;0,"",MOD(D516,12)=0,"Year End"&amp;" "&amp;D516/12)</f>
        <v/>
      </c>
      <c r="V516">
        <v>505</v>
      </c>
    </row>
    <row r="517" spans="4:22">
      <c r="D517" s="32" t="str">
        <f>IF(V517&lt;=calcs!$F$4,'Loan Calculator'!V517,"")</f>
        <v/>
      </c>
      <c r="E517" s="29" t="str" cm="1">
        <f t="array" ref="E517">_xlfn.IFS(F517="","",G516&lt;F516,G516*calcs!$H$3,$D$8&lt;=0,$M$3-F517,$D$8&gt;0,$M$3-F517+$D$8,G516&lt;F516,G517*calcs!$H$3)</f>
        <v/>
      </c>
      <c r="F517" s="29" t="str" cm="1">
        <f t="array" ref="F517">_xlfn.IFS(F516="","",G516=0,"",G516&lt;1,"",G516&lt;F516,G516,AND(G516&gt;0,$D$8&gt;0),$D$8+($M$3-(G516*calcs!$H$3)),G516&gt;0,$M$3-(G516*calcs!$H$3))</f>
        <v/>
      </c>
      <c r="G517" s="29" t="str" cm="1">
        <f t="array" ref="G517">_xlfn.IFS(F517="","",G516-F517&lt;1,0,ISBLANK(F517)=TRUE,"",G516-F517&gt;1,G516-F517)</f>
        <v/>
      </c>
      <c r="H517" s="33" t="str">
        <f t="shared" si="8"/>
        <v/>
      </c>
      <c r="I517" s="2" t="str" cm="1">
        <f t="array" ref="I517">_xlfn.IFS(OR(D517="",E517="",F517=""),"",MOD(D517,12)&lt;&gt;0,"",MOD(D517,12)=0,"Year End"&amp;" "&amp;D517/12)</f>
        <v/>
      </c>
      <c r="V517">
        <v>506</v>
      </c>
    </row>
    <row r="518" spans="4:22">
      <c r="D518" s="30" t="str">
        <f>IF(V518&lt;=calcs!$F$4,'Loan Calculator'!V518,"")</f>
        <v/>
      </c>
      <c r="E518" s="27" t="str" cm="1">
        <f t="array" ref="E518">_xlfn.IFS(F518="","",G517&lt;F517,G517*calcs!$H$3,$D$8&lt;=0,$M$3-F518,$D$8&gt;0,$M$3-F518+$D$8,G517&lt;F517,G518*calcs!$H$3)</f>
        <v/>
      </c>
      <c r="F518" s="27" t="str" cm="1">
        <f t="array" ref="F518">_xlfn.IFS(F517="","",G517=0,"",G517&lt;1,"",G517&lt;F517,G517,AND(G517&gt;0,$D$8&gt;0),$D$8+($M$3-(G517*calcs!$H$3)),G517&gt;0,$M$3-(G517*calcs!$H$3))</f>
        <v/>
      </c>
      <c r="G518" s="27" t="str" cm="1">
        <f t="array" ref="G518">_xlfn.IFS(F518="","",G517-F518&lt;1,0,ISBLANK(F518)=TRUE,"",G517-F518&gt;1,G517-F518)</f>
        <v/>
      </c>
      <c r="H518" s="31" t="str">
        <f t="shared" si="8"/>
        <v/>
      </c>
      <c r="I518" s="2" t="str" cm="1">
        <f t="array" ref="I518">_xlfn.IFS(OR(D518="",E518="",F518=""),"",MOD(D518,12)&lt;&gt;0,"",MOD(D518,12)=0,"Year End"&amp;" "&amp;D518/12)</f>
        <v/>
      </c>
      <c r="V518">
        <v>507</v>
      </c>
    </row>
    <row r="519" spans="4:22">
      <c r="D519" s="32" t="str">
        <f>IF(V519&lt;=calcs!$F$4,'Loan Calculator'!V519,"")</f>
        <v/>
      </c>
      <c r="E519" s="29" t="str" cm="1">
        <f t="array" ref="E519">_xlfn.IFS(F519="","",G518&lt;F518,G518*calcs!$H$3,$D$8&lt;=0,$M$3-F519,$D$8&gt;0,$M$3-F519+$D$8,G518&lt;F518,G519*calcs!$H$3)</f>
        <v/>
      </c>
      <c r="F519" s="29" t="str" cm="1">
        <f t="array" ref="F519">_xlfn.IFS(F518="","",G518=0,"",G518&lt;1,"",G518&lt;F518,G518,AND(G518&gt;0,$D$8&gt;0),$D$8+($M$3-(G518*calcs!$H$3)),G518&gt;0,$M$3-(G518*calcs!$H$3))</f>
        <v/>
      </c>
      <c r="G519" s="29" t="str" cm="1">
        <f t="array" ref="G519">_xlfn.IFS(F519="","",G518-F519&lt;1,0,ISBLANK(F519)=TRUE,"",G518-F519&gt;1,G518-F519)</f>
        <v/>
      </c>
      <c r="H519" s="33" t="str">
        <f t="shared" si="8"/>
        <v/>
      </c>
      <c r="I519" s="2" t="str" cm="1">
        <f t="array" ref="I519">_xlfn.IFS(OR(D519="",E519="",F519=""),"",MOD(D519,12)&lt;&gt;0,"",MOD(D519,12)=0,"Year End"&amp;" "&amp;D519/12)</f>
        <v/>
      </c>
      <c r="V519">
        <v>508</v>
      </c>
    </row>
    <row r="520" spans="4:22">
      <c r="D520" s="30" t="str">
        <f>IF(V520&lt;=calcs!$F$4,'Loan Calculator'!V520,"")</f>
        <v/>
      </c>
      <c r="E520" s="27" t="str" cm="1">
        <f t="array" ref="E520">_xlfn.IFS(F520="","",G519&lt;F519,G519*calcs!$H$3,$D$8&lt;=0,$M$3-F520,$D$8&gt;0,$M$3-F520+$D$8,G519&lt;F519,G520*calcs!$H$3)</f>
        <v/>
      </c>
      <c r="F520" s="27" t="str" cm="1">
        <f t="array" ref="F520">_xlfn.IFS(F519="","",G519=0,"",G519&lt;1,"",G519&lt;F519,G519,AND(G519&gt;0,$D$8&gt;0),$D$8+($M$3-(G519*calcs!$H$3)),G519&gt;0,$M$3-(G519*calcs!$H$3))</f>
        <v/>
      </c>
      <c r="G520" s="27" t="str" cm="1">
        <f t="array" ref="G520">_xlfn.IFS(F520="","",G519-F520&lt;1,0,ISBLANK(F520)=TRUE,"",G519-F520&gt;1,G519-F520)</f>
        <v/>
      </c>
      <c r="H520" s="31" t="str">
        <f t="shared" si="8"/>
        <v/>
      </c>
      <c r="I520" s="2" t="str" cm="1">
        <f t="array" ref="I520">_xlfn.IFS(OR(D520="",E520="",F520=""),"",MOD(D520,12)&lt;&gt;0,"",MOD(D520,12)=0,"Year End"&amp;" "&amp;D520/12)</f>
        <v/>
      </c>
      <c r="V520">
        <v>509</v>
      </c>
    </row>
    <row r="521" spans="4:22">
      <c r="D521" s="32" t="str">
        <f>IF(V521&lt;=calcs!$F$4,'Loan Calculator'!V521,"")</f>
        <v/>
      </c>
      <c r="E521" s="29" t="str" cm="1">
        <f t="array" ref="E521">_xlfn.IFS(F521="","",G520&lt;F520,G520*calcs!$H$3,$D$8&lt;=0,$M$3-F521,$D$8&gt;0,$M$3-F521+$D$8,G520&lt;F520,G521*calcs!$H$3)</f>
        <v/>
      </c>
      <c r="F521" s="29" t="str" cm="1">
        <f t="array" ref="F521">_xlfn.IFS(F520="","",G520=0,"",G520&lt;1,"",G520&lt;F520,G520,AND(G520&gt;0,$D$8&gt;0),$D$8+($M$3-(G520*calcs!$H$3)),G520&gt;0,$M$3-(G520*calcs!$H$3))</f>
        <v/>
      </c>
      <c r="G521" s="29" t="str" cm="1">
        <f t="array" ref="G521">_xlfn.IFS(F521="","",G520-F521&lt;1,0,ISBLANK(F521)=TRUE,"",G520-F521&gt;1,G520-F521)</f>
        <v/>
      </c>
      <c r="H521" s="33" t="str">
        <f t="shared" si="8"/>
        <v/>
      </c>
      <c r="I521" s="2" t="str" cm="1">
        <f t="array" ref="I521">_xlfn.IFS(OR(D521="",E521="",F521=""),"",MOD(D521,12)&lt;&gt;0,"",MOD(D521,12)=0,"Year End"&amp;" "&amp;D521/12)</f>
        <v/>
      </c>
      <c r="V521">
        <v>510</v>
      </c>
    </row>
    <row r="522" spans="4:22">
      <c r="D522" s="30" t="str">
        <f>IF(V522&lt;=calcs!$F$4,'Loan Calculator'!V522,"")</f>
        <v/>
      </c>
      <c r="E522" s="27" t="str" cm="1">
        <f t="array" ref="E522">_xlfn.IFS(F522="","",G521&lt;F521,G521*calcs!$H$3,$D$8&lt;=0,$M$3-F522,$D$8&gt;0,$M$3-F522+$D$8,G521&lt;F521,G522*calcs!$H$3)</f>
        <v/>
      </c>
      <c r="F522" s="27" t="str" cm="1">
        <f t="array" ref="F522">_xlfn.IFS(F521="","",G521=0,"",G521&lt;1,"",G521&lt;F521,G521,AND(G521&gt;0,$D$8&gt;0),$D$8+($M$3-(G521*calcs!$H$3)),G521&gt;0,$M$3-(G521*calcs!$H$3))</f>
        <v/>
      </c>
      <c r="G522" s="27" t="str" cm="1">
        <f t="array" ref="G522">_xlfn.IFS(F522="","",G521-F522&lt;1,0,ISBLANK(F522)=TRUE,"",G521-F522&gt;1,G521-F522)</f>
        <v/>
      </c>
      <c r="H522" s="31" t="str">
        <f t="shared" si="8"/>
        <v/>
      </c>
      <c r="I522" s="2" t="str" cm="1">
        <f t="array" ref="I522">_xlfn.IFS(OR(D522="",E522="",F522=""),"",MOD(D522,12)&lt;&gt;0,"",MOD(D522,12)=0,"Year End"&amp;" "&amp;D522/12)</f>
        <v/>
      </c>
      <c r="V522">
        <v>511</v>
      </c>
    </row>
    <row r="523" spans="4:22">
      <c r="D523" s="32" t="str">
        <f>IF(V523&lt;=calcs!$F$4,'Loan Calculator'!V523,"")</f>
        <v/>
      </c>
      <c r="E523" s="29" t="str" cm="1">
        <f t="array" ref="E523">_xlfn.IFS(F523="","",G522&lt;F522,G522*calcs!$H$3,$D$8&lt;=0,$M$3-F523,$D$8&gt;0,$M$3-F523+$D$8,G522&lt;F522,G523*calcs!$H$3)</f>
        <v/>
      </c>
      <c r="F523" s="29" t="str" cm="1">
        <f t="array" ref="F523">_xlfn.IFS(F522="","",G522=0,"",G522&lt;1,"",G522&lt;F522,G522,AND(G522&gt;0,$D$8&gt;0),$D$8+($M$3-(G522*calcs!$H$3)),G522&gt;0,$M$3-(G522*calcs!$H$3))</f>
        <v/>
      </c>
      <c r="G523" s="29" t="str" cm="1">
        <f t="array" ref="G523">_xlfn.IFS(F523="","",G522-F523&lt;1,0,ISBLANK(F523)=TRUE,"",G522-F523&gt;1,G522-F523)</f>
        <v/>
      </c>
      <c r="H523" s="33" t="str">
        <f t="shared" si="8"/>
        <v/>
      </c>
      <c r="I523" s="2" t="str" cm="1">
        <f t="array" ref="I523">_xlfn.IFS(OR(D523="",E523="",F523=""),"",MOD(D523,12)&lt;&gt;0,"",MOD(D523,12)=0,"Year End"&amp;" "&amp;D523/12)</f>
        <v/>
      </c>
      <c r="V523">
        <v>512</v>
      </c>
    </row>
    <row r="524" spans="4:22">
      <c r="D524" s="30" t="str">
        <f>IF(V524&lt;=calcs!$F$4,'Loan Calculator'!V524,"")</f>
        <v/>
      </c>
      <c r="E524" s="27" t="str" cm="1">
        <f t="array" ref="E524">_xlfn.IFS(F524="","",G523&lt;F523,G523*calcs!$H$3,$D$8&lt;=0,$M$3-F524,$D$8&gt;0,$M$3-F524+$D$8,G523&lt;F523,G524*calcs!$H$3)</f>
        <v/>
      </c>
      <c r="F524" s="27" t="str" cm="1">
        <f t="array" ref="F524">_xlfn.IFS(F523="","",G523=0,"",G523&lt;1,"",G523&lt;F523,G523,AND(G523&gt;0,$D$8&gt;0),$D$8+($M$3-(G523*calcs!$H$3)),G523&gt;0,$M$3-(G523*calcs!$H$3))</f>
        <v/>
      </c>
      <c r="G524" s="27" t="str" cm="1">
        <f t="array" ref="G524">_xlfn.IFS(F524="","",G523-F524&lt;1,0,ISBLANK(F524)=TRUE,"",G523-F524&gt;1,G523-F524)</f>
        <v/>
      </c>
      <c r="H524" s="31" t="str">
        <f t="shared" si="8"/>
        <v/>
      </c>
      <c r="I524" s="2" t="str" cm="1">
        <f t="array" ref="I524">_xlfn.IFS(OR(D524="",E524="",F524=""),"",MOD(D524,12)&lt;&gt;0,"",MOD(D524,12)=0,"Year End"&amp;" "&amp;D524/12)</f>
        <v/>
      </c>
      <c r="V524">
        <v>513</v>
      </c>
    </row>
    <row r="525" spans="4:22">
      <c r="D525" s="32" t="str">
        <f>IF(V525&lt;=calcs!$F$4,'Loan Calculator'!V525,"")</f>
        <v/>
      </c>
      <c r="E525" s="29" t="str" cm="1">
        <f t="array" ref="E525">_xlfn.IFS(F525="","",G524&lt;F524,G524*calcs!$H$3,$D$8&lt;=0,$M$3-F525,$D$8&gt;0,$M$3-F525+$D$8,G524&lt;F524,G525*calcs!$H$3)</f>
        <v/>
      </c>
      <c r="F525" s="29" t="str" cm="1">
        <f t="array" ref="F525">_xlfn.IFS(F524="","",G524=0,"",G524&lt;1,"",G524&lt;F524,G524,AND(G524&gt;0,$D$8&gt;0),$D$8+($M$3-(G524*calcs!$H$3)),G524&gt;0,$M$3-(G524*calcs!$H$3))</f>
        <v/>
      </c>
      <c r="G525" s="29" t="str" cm="1">
        <f t="array" ref="G525">_xlfn.IFS(F525="","",G524-F525&lt;1,0,ISBLANK(F525)=TRUE,"",G524-F525&gt;1,G524-F525)</f>
        <v/>
      </c>
      <c r="H525" s="33" t="str">
        <f t="shared" si="8"/>
        <v/>
      </c>
      <c r="I525" s="2" t="str" cm="1">
        <f t="array" ref="I525">_xlfn.IFS(OR(D525="",E525="",F525=""),"",MOD(D525,12)&lt;&gt;0,"",MOD(D525,12)=0,"Year End"&amp;" "&amp;D525/12)</f>
        <v/>
      </c>
      <c r="V525">
        <v>514</v>
      </c>
    </row>
    <row r="526" spans="4:22">
      <c r="D526" s="30" t="str">
        <f>IF(V526&lt;=calcs!$F$4,'Loan Calculator'!V526,"")</f>
        <v/>
      </c>
      <c r="E526" s="27" t="str" cm="1">
        <f t="array" ref="E526">_xlfn.IFS(F526="","",G525&lt;F525,G525*calcs!$H$3,$D$8&lt;=0,$M$3-F526,$D$8&gt;0,$M$3-F526+$D$8,G525&lt;F525,G526*calcs!$H$3)</f>
        <v/>
      </c>
      <c r="F526" s="27" t="str" cm="1">
        <f t="array" ref="F526">_xlfn.IFS(F525="","",G525=0,"",G525&lt;1,"",G525&lt;F525,G525,AND(G525&gt;0,$D$8&gt;0),$D$8+($M$3-(G525*calcs!$H$3)),G525&gt;0,$M$3-(G525*calcs!$H$3))</f>
        <v/>
      </c>
      <c r="G526" s="27" t="str" cm="1">
        <f t="array" ref="G526">_xlfn.IFS(F526="","",G525-F526&lt;1,0,ISBLANK(F526)=TRUE,"",G525-F526&gt;1,G525-F526)</f>
        <v/>
      </c>
      <c r="H526" s="31" t="str">
        <f t="shared" ref="H526:H589" si="9">IF(OR(H525=0,H525="",E526="",F526=""),"",H525+E526+F526)</f>
        <v/>
      </c>
      <c r="I526" s="2" t="str" cm="1">
        <f t="array" ref="I526">_xlfn.IFS(OR(D526="",E526="",F526=""),"",MOD(D526,12)&lt;&gt;0,"",MOD(D526,12)=0,"Year End"&amp;" "&amp;D526/12)</f>
        <v/>
      </c>
      <c r="V526">
        <v>515</v>
      </c>
    </row>
    <row r="527" spans="4:22">
      <c r="D527" s="32" t="str">
        <f>IF(V527&lt;=calcs!$F$4,'Loan Calculator'!V527,"")</f>
        <v/>
      </c>
      <c r="E527" s="29" t="str" cm="1">
        <f t="array" ref="E527">_xlfn.IFS(F527="","",G526&lt;F526,G526*calcs!$H$3,$D$8&lt;=0,$M$3-F527,$D$8&gt;0,$M$3-F527+$D$8,G526&lt;F526,G527*calcs!$H$3)</f>
        <v/>
      </c>
      <c r="F527" s="29" t="str" cm="1">
        <f t="array" ref="F527">_xlfn.IFS(F526="","",G526=0,"",G526&lt;1,"",G526&lt;F526,G526,AND(G526&gt;0,$D$8&gt;0),$D$8+($M$3-(G526*calcs!$H$3)),G526&gt;0,$M$3-(G526*calcs!$H$3))</f>
        <v/>
      </c>
      <c r="G527" s="29" t="str" cm="1">
        <f t="array" ref="G527">_xlfn.IFS(F527="","",G526-F527&lt;1,0,ISBLANK(F527)=TRUE,"",G526-F527&gt;1,G526-F527)</f>
        <v/>
      </c>
      <c r="H527" s="33" t="str">
        <f t="shared" si="9"/>
        <v/>
      </c>
      <c r="I527" s="2" t="str" cm="1">
        <f t="array" ref="I527">_xlfn.IFS(OR(D527="",E527="",F527=""),"",MOD(D527,12)&lt;&gt;0,"",MOD(D527,12)=0,"Year End"&amp;" "&amp;D527/12)</f>
        <v/>
      </c>
      <c r="V527">
        <v>516</v>
      </c>
    </row>
    <row r="528" spans="4:22">
      <c r="D528" s="30" t="str">
        <f>IF(V528&lt;=calcs!$F$4,'Loan Calculator'!V528,"")</f>
        <v/>
      </c>
      <c r="E528" s="27" t="str" cm="1">
        <f t="array" ref="E528">_xlfn.IFS(F528="","",G527&lt;F527,G527*calcs!$H$3,$D$8&lt;=0,$M$3-F528,$D$8&gt;0,$M$3-F528+$D$8,G527&lt;F527,G528*calcs!$H$3)</f>
        <v/>
      </c>
      <c r="F528" s="27" t="str" cm="1">
        <f t="array" ref="F528">_xlfn.IFS(F527="","",G527=0,"",G527&lt;1,"",G527&lt;F527,G527,AND(G527&gt;0,$D$8&gt;0),$D$8+($M$3-(G527*calcs!$H$3)),G527&gt;0,$M$3-(G527*calcs!$H$3))</f>
        <v/>
      </c>
      <c r="G528" s="27" t="str" cm="1">
        <f t="array" ref="G528">_xlfn.IFS(F528="","",G527-F528&lt;1,0,ISBLANK(F528)=TRUE,"",G527-F528&gt;1,G527-F528)</f>
        <v/>
      </c>
      <c r="H528" s="31" t="str">
        <f t="shared" si="9"/>
        <v/>
      </c>
      <c r="I528" s="2" t="str" cm="1">
        <f t="array" ref="I528">_xlfn.IFS(OR(D528="",E528="",F528=""),"",MOD(D528,12)&lt;&gt;0,"",MOD(D528,12)=0,"Year End"&amp;" "&amp;D528/12)</f>
        <v/>
      </c>
      <c r="V528">
        <v>517</v>
      </c>
    </row>
    <row r="529" spans="4:22">
      <c r="D529" s="32" t="str">
        <f>IF(V529&lt;=calcs!$F$4,'Loan Calculator'!V529,"")</f>
        <v/>
      </c>
      <c r="E529" s="29" t="str" cm="1">
        <f t="array" ref="E529">_xlfn.IFS(F529="","",G528&lt;F528,G528*calcs!$H$3,$D$8&lt;=0,$M$3-F529,$D$8&gt;0,$M$3-F529+$D$8,G528&lt;F528,G529*calcs!$H$3)</f>
        <v/>
      </c>
      <c r="F529" s="29" t="str" cm="1">
        <f t="array" ref="F529">_xlfn.IFS(F528="","",G528=0,"",G528&lt;1,"",G528&lt;F528,G528,AND(G528&gt;0,$D$8&gt;0),$D$8+($M$3-(G528*calcs!$H$3)),G528&gt;0,$M$3-(G528*calcs!$H$3))</f>
        <v/>
      </c>
      <c r="G529" s="29" t="str" cm="1">
        <f t="array" ref="G529">_xlfn.IFS(F529="","",G528-F529&lt;1,0,ISBLANK(F529)=TRUE,"",G528-F529&gt;1,G528-F529)</f>
        <v/>
      </c>
      <c r="H529" s="33" t="str">
        <f t="shared" si="9"/>
        <v/>
      </c>
      <c r="I529" s="2" t="str" cm="1">
        <f t="array" ref="I529">_xlfn.IFS(OR(D529="",E529="",F529=""),"",MOD(D529,12)&lt;&gt;0,"",MOD(D529,12)=0,"Year End"&amp;" "&amp;D529/12)</f>
        <v/>
      </c>
      <c r="V529">
        <v>518</v>
      </c>
    </row>
    <row r="530" spans="4:22">
      <c r="D530" s="30" t="str">
        <f>IF(V530&lt;=calcs!$F$4,'Loan Calculator'!V530,"")</f>
        <v/>
      </c>
      <c r="E530" s="27" t="str" cm="1">
        <f t="array" ref="E530">_xlfn.IFS(F530="","",G529&lt;F529,G529*calcs!$H$3,$D$8&lt;=0,$M$3-F530,$D$8&gt;0,$M$3-F530+$D$8,G529&lt;F529,G530*calcs!$H$3)</f>
        <v/>
      </c>
      <c r="F530" s="27" t="str" cm="1">
        <f t="array" ref="F530">_xlfn.IFS(F529="","",G529=0,"",G529&lt;1,"",G529&lt;F529,G529,AND(G529&gt;0,$D$8&gt;0),$D$8+($M$3-(G529*calcs!$H$3)),G529&gt;0,$M$3-(G529*calcs!$H$3))</f>
        <v/>
      </c>
      <c r="G530" s="27" t="str" cm="1">
        <f t="array" ref="G530">_xlfn.IFS(F530="","",G529-F530&lt;1,0,ISBLANK(F530)=TRUE,"",G529-F530&gt;1,G529-F530)</f>
        <v/>
      </c>
      <c r="H530" s="31" t="str">
        <f t="shared" si="9"/>
        <v/>
      </c>
      <c r="I530" s="2" t="str" cm="1">
        <f t="array" ref="I530">_xlfn.IFS(OR(D530="",E530="",F530=""),"",MOD(D530,12)&lt;&gt;0,"",MOD(D530,12)=0,"Year End"&amp;" "&amp;D530/12)</f>
        <v/>
      </c>
      <c r="V530">
        <v>519</v>
      </c>
    </row>
    <row r="531" spans="4:22">
      <c r="D531" s="32" t="str">
        <f>IF(V531&lt;=calcs!$F$4,'Loan Calculator'!V531,"")</f>
        <v/>
      </c>
      <c r="E531" s="29" t="str" cm="1">
        <f t="array" ref="E531">_xlfn.IFS(F531="","",G530&lt;F530,G530*calcs!$H$3,$D$8&lt;=0,$M$3-F531,$D$8&gt;0,$M$3-F531+$D$8,G530&lt;F530,G531*calcs!$H$3)</f>
        <v/>
      </c>
      <c r="F531" s="29" t="str" cm="1">
        <f t="array" ref="F531">_xlfn.IFS(F530="","",G530=0,"",G530&lt;1,"",G530&lt;F530,G530,AND(G530&gt;0,$D$8&gt;0),$D$8+($M$3-(G530*calcs!$H$3)),G530&gt;0,$M$3-(G530*calcs!$H$3))</f>
        <v/>
      </c>
      <c r="G531" s="29" t="str" cm="1">
        <f t="array" ref="G531">_xlfn.IFS(F531="","",G530-F531&lt;1,0,ISBLANK(F531)=TRUE,"",G530-F531&gt;1,G530-F531)</f>
        <v/>
      </c>
      <c r="H531" s="33" t="str">
        <f t="shared" si="9"/>
        <v/>
      </c>
      <c r="I531" s="2" t="str" cm="1">
        <f t="array" ref="I531">_xlfn.IFS(OR(D531="",E531="",F531=""),"",MOD(D531,12)&lt;&gt;0,"",MOD(D531,12)=0,"Year End"&amp;" "&amp;D531/12)</f>
        <v/>
      </c>
      <c r="V531">
        <v>520</v>
      </c>
    </row>
    <row r="532" spans="4:22">
      <c r="D532" s="30" t="str">
        <f>IF(V532&lt;=calcs!$F$4,'Loan Calculator'!V532,"")</f>
        <v/>
      </c>
      <c r="E532" s="27" t="str" cm="1">
        <f t="array" ref="E532">_xlfn.IFS(F532="","",G531&lt;F531,G531*calcs!$H$3,$D$8&lt;=0,$M$3-F532,$D$8&gt;0,$M$3-F532+$D$8,G531&lt;F531,G532*calcs!$H$3)</f>
        <v/>
      </c>
      <c r="F532" s="27" t="str" cm="1">
        <f t="array" ref="F532">_xlfn.IFS(F531="","",G531=0,"",G531&lt;1,"",G531&lt;F531,G531,AND(G531&gt;0,$D$8&gt;0),$D$8+($M$3-(G531*calcs!$H$3)),G531&gt;0,$M$3-(G531*calcs!$H$3))</f>
        <v/>
      </c>
      <c r="G532" s="27" t="str" cm="1">
        <f t="array" ref="G532">_xlfn.IFS(F532="","",G531-F532&lt;1,0,ISBLANK(F532)=TRUE,"",G531-F532&gt;1,G531-F532)</f>
        <v/>
      </c>
      <c r="H532" s="31" t="str">
        <f t="shared" si="9"/>
        <v/>
      </c>
      <c r="I532" s="2" t="str" cm="1">
        <f t="array" ref="I532">_xlfn.IFS(OR(D532="",E532="",F532=""),"",MOD(D532,12)&lt;&gt;0,"",MOD(D532,12)=0,"Year End"&amp;" "&amp;D532/12)</f>
        <v/>
      </c>
      <c r="V532">
        <v>521</v>
      </c>
    </row>
    <row r="533" spans="4:22">
      <c r="D533" s="32" t="str">
        <f>IF(V533&lt;=calcs!$F$4,'Loan Calculator'!V533,"")</f>
        <v/>
      </c>
      <c r="E533" s="29" t="str" cm="1">
        <f t="array" ref="E533">_xlfn.IFS(F533="","",G532&lt;F532,G532*calcs!$H$3,$D$8&lt;=0,$M$3-F533,$D$8&gt;0,$M$3-F533+$D$8,G532&lt;F532,G533*calcs!$H$3)</f>
        <v/>
      </c>
      <c r="F533" s="29" t="str" cm="1">
        <f t="array" ref="F533">_xlfn.IFS(F532="","",G532=0,"",G532&lt;1,"",G532&lt;F532,G532,AND(G532&gt;0,$D$8&gt;0),$D$8+($M$3-(G532*calcs!$H$3)),G532&gt;0,$M$3-(G532*calcs!$H$3))</f>
        <v/>
      </c>
      <c r="G533" s="29" t="str" cm="1">
        <f t="array" ref="G533">_xlfn.IFS(F533="","",G532-F533&lt;1,0,ISBLANK(F533)=TRUE,"",G532-F533&gt;1,G532-F533)</f>
        <v/>
      </c>
      <c r="H533" s="33" t="str">
        <f t="shared" si="9"/>
        <v/>
      </c>
      <c r="I533" s="2" t="str" cm="1">
        <f t="array" ref="I533">_xlfn.IFS(OR(D533="",E533="",F533=""),"",MOD(D533,12)&lt;&gt;0,"",MOD(D533,12)=0,"Year End"&amp;" "&amp;D533/12)</f>
        <v/>
      </c>
      <c r="V533">
        <v>522</v>
      </c>
    </row>
    <row r="534" spans="4:22">
      <c r="D534" s="30" t="str">
        <f>IF(V534&lt;=calcs!$F$4,'Loan Calculator'!V534,"")</f>
        <v/>
      </c>
      <c r="E534" s="27" t="str" cm="1">
        <f t="array" ref="E534">_xlfn.IFS(F534="","",G533&lt;F533,G533*calcs!$H$3,$D$8&lt;=0,$M$3-F534,$D$8&gt;0,$M$3-F534+$D$8,G533&lt;F533,G534*calcs!$H$3)</f>
        <v/>
      </c>
      <c r="F534" s="27" t="str" cm="1">
        <f t="array" ref="F534">_xlfn.IFS(F533="","",G533=0,"",G533&lt;1,"",G533&lt;F533,G533,AND(G533&gt;0,$D$8&gt;0),$D$8+($M$3-(G533*calcs!$H$3)),G533&gt;0,$M$3-(G533*calcs!$H$3))</f>
        <v/>
      </c>
      <c r="G534" s="27" t="str" cm="1">
        <f t="array" ref="G534">_xlfn.IFS(F534="","",G533-F534&lt;1,0,ISBLANK(F534)=TRUE,"",G533-F534&gt;1,G533-F534)</f>
        <v/>
      </c>
      <c r="H534" s="31" t="str">
        <f t="shared" si="9"/>
        <v/>
      </c>
      <c r="I534" s="2" t="str" cm="1">
        <f t="array" ref="I534">_xlfn.IFS(OR(D534="",E534="",F534=""),"",MOD(D534,12)&lt;&gt;0,"",MOD(D534,12)=0,"Year End"&amp;" "&amp;D534/12)</f>
        <v/>
      </c>
      <c r="V534">
        <v>523</v>
      </c>
    </row>
    <row r="535" spans="4:22">
      <c r="D535" s="32" t="str">
        <f>IF(V535&lt;=calcs!$F$4,'Loan Calculator'!V535,"")</f>
        <v/>
      </c>
      <c r="E535" s="29" t="str" cm="1">
        <f t="array" ref="E535">_xlfn.IFS(F535="","",G534&lt;F534,G534*calcs!$H$3,$D$8&lt;=0,$M$3-F535,$D$8&gt;0,$M$3-F535+$D$8,G534&lt;F534,G535*calcs!$H$3)</f>
        <v/>
      </c>
      <c r="F535" s="29" t="str" cm="1">
        <f t="array" ref="F535">_xlfn.IFS(F534="","",G534=0,"",G534&lt;1,"",G534&lt;F534,G534,AND(G534&gt;0,$D$8&gt;0),$D$8+($M$3-(G534*calcs!$H$3)),G534&gt;0,$M$3-(G534*calcs!$H$3))</f>
        <v/>
      </c>
      <c r="G535" s="29" t="str" cm="1">
        <f t="array" ref="G535">_xlfn.IFS(F535="","",G534-F535&lt;1,0,ISBLANK(F535)=TRUE,"",G534-F535&gt;1,G534-F535)</f>
        <v/>
      </c>
      <c r="H535" s="33" t="str">
        <f t="shared" si="9"/>
        <v/>
      </c>
      <c r="I535" s="2" t="str" cm="1">
        <f t="array" ref="I535">_xlfn.IFS(OR(D535="",E535="",F535=""),"",MOD(D535,12)&lt;&gt;0,"",MOD(D535,12)=0,"Year End"&amp;" "&amp;D535/12)</f>
        <v/>
      </c>
      <c r="V535">
        <v>524</v>
      </c>
    </row>
    <row r="536" spans="4:22">
      <c r="D536" s="30" t="str">
        <f>IF(V536&lt;=calcs!$F$4,'Loan Calculator'!V536,"")</f>
        <v/>
      </c>
      <c r="E536" s="27" t="str" cm="1">
        <f t="array" ref="E536">_xlfn.IFS(F536="","",G535&lt;F535,G535*calcs!$H$3,$D$8&lt;=0,$M$3-F536,$D$8&gt;0,$M$3-F536+$D$8,G535&lt;F535,G536*calcs!$H$3)</f>
        <v/>
      </c>
      <c r="F536" s="27" t="str" cm="1">
        <f t="array" ref="F536">_xlfn.IFS(F535="","",G535=0,"",G535&lt;1,"",G535&lt;F535,G535,AND(G535&gt;0,$D$8&gt;0),$D$8+($M$3-(G535*calcs!$H$3)),G535&gt;0,$M$3-(G535*calcs!$H$3))</f>
        <v/>
      </c>
      <c r="G536" s="27" t="str" cm="1">
        <f t="array" ref="G536">_xlfn.IFS(F536="","",G535-F536&lt;1,0,ISBLANK(F536)=TRUE,"",G535-F536&gt;1,G535-F536)</f>
        <v/>
      </c>
      <c r="H536" s="31" t="str">
        <f t="shared" si="9"/>
        <v/>
      </c>
      <c r="I536" s="2" t="str" cm="1">
        <f t="array" ref="I536">_xlfn.IFS(OR(D536="",E536="",F536=""),"",MOD(D536,12)&lt;&gt;0,"",MOD(D536,12)=0,"Year End"&amp;" "&amp;D536/12)</f>
        <v/>
      </c>
      <c r="V536">
        <v>525</v>
      </c>
    </row>
    <row r="537" spans="4:22">
      <c r="D537" s="32" t="str">
        <f>IF(V537&lt;=calcs!$F$4,'Loan Calculator'!V537,"")</f>
        <v/>
      </c>
      <c r="E537" s="29" t="str" cm="1">
        <f t="array" ref="E537">_xlfn.IFS(F537="","",G536&lt;F536,G536*calcs!$H$3,$D$8&lt;=0,$M$3-F537,$D$8&gt;0,$M$3-F537+$D$8,G536&lt;F536,G537*calcs!$H$3)</f>
        <v/>
      </c>
      <c r="F537" s="29" t="str" cm="1">
        <f t="array" ref="F537">_xlfn.IFS(F536="","",G536=0,"",G536&lt;1,"",G536&lt;F536,G536,AND(G536&gt;0,$D$8&gt;0),$D$8+($M$3-(G536*calcs!$H$3)),G536&gt;0,$M$3-(G536*calcs!$H$3))</f>
        <v/>
      </c>
      <c r="G537" s="29" t="str" cm="1">
        <f t="array" ref="G537">_xlfn.IFS(F537="","",G536-F537&lt;1,0,ISBLANK(F537)=TRUE,"",G536-F537&gt;1,G536-F537)</f>
        <v/>
      </c>
      <c r="H537" s="33" t="str">
        <f t="shared" si="9"/>
        <v/>
      </c>
      <c r="I537" s="2" t="str" cm="1">
        <f t="array" ref="I537">_xlfn.IFS(OR(D537="",E537="",F537=""),"",MOD(D537,12)&lt;&gt;0,"",MOD(D537,12)=0,"Year End"&amp;" "&amp;D537/12)</f>
        <v/>
      </c>
      <c r="V537">
        <v>526</v>
      </c>
    </row>
    <row r="538" spans="4:22">
      <c r="D538" s="30" t="str">
        <f>IF(V538&lt;=calcs!$F$4,'Loan Calculator'!V538,"")</f>
        <v/>
      </c>
      <c r="E538" s="27" t="str" cm="1">
        <f t="array" ref="E538">_xlfn.IFS(F538="","",G537&lt;F537,G537*calcs!$H$3,$D$8&lt;=0,$M$3-F538,$D$8&gt;0,$M$3-F538+$D$8,G537&lt;F537,G538*calcs!$H$3)</f>
        <v/>
      </c>
      <c r="F538" s="27" t="str" cm="1">
        <f t="array" ref="F538">_xlfn.IFS(F537="","",G537=0,"",G537&lt;1,"",G537&lt;F537,G537,AND(G537&gt;0,$D$8&gt;0),$D$8+($M$3-(G537*calcs!$H$3)),G537&gt;0,$M$3-(G537*calcs!$H$3))</f>
        <v/>
      </c>
      <c r="G538" s="27" t="str" cm="1">
        <f t="array" ref="G538">_xlfn.IFS(F538="","",G537-F538&lt;1,0,ISBLANK(F538)=TRUE,"",G537-F538&gt;1,G537-F538)</f>
        <v/>
      </c>
      <c r="H538" s="31" t="str">
        <f t="shared" si="9"/>
        <v/>
      </c>
      <c r="I538" s="2" t="str" cm="1">
        <f t="array" ref="I538">_xlfn.IFS(OR(D538="",E538="",F538=""),"",MOD(D538,12)&lt;&gt;0,"",MOD(D538,12)=0,"Year End"&amp;" "&amp;D538/12)</f>
        <v/>
      </c>
      <c r="V538">
        <v>527</v>
      </c>
    </row>
    <row r="539" spans="4:22">
      <c r="D539" s="32" t="str">
        <f>IF(V539&lt;=calcs!$F$4,'Loan Calculator'!V539,"")</f>
        <v/>
      </c>
      <c r="E539" s="29" t="str" cm="1">
        <f t="array" ref="E539">_xlfn.IFS(F539="","",G538&lt;F538,G538*calcs!$H$3,$D$8&lt;=0,$M$3-F539,$D$8&gt;0,$M$3-F539+$D$8,G538&lt;F538,G539*calcs!$H$3)</f>
        <v/>
      </c>
      <c r="F539" s="29" t="str" cm="1">
        <f t="array" ref="F539">_xlfn.IFS(F538="","",G538=0,"",G538&lt;1,"",G538&lt;F538,G538,AND(G538&gt;0,$D$8&gt;0),$D$8+($M$3-(G538*calcs!$H$3)),G538&gt;0,$M$3-(G538*calcs!$H$3))</f>
        <v/>
      </c>
      <c r="G539" s="29" t="str" cm="1">
        <f t="array" ref="G539">_xlfn.IFS(F539="","",G538-F539&lt;1,0,ISBLANK(F539)=TRUE,"",G538-F539&gt;1,G538-F539)</f>
        <v/>
      </c>
      <c r="H539" s="33" t="str">
        <f t="shared" si="9"/>
        <v/>
      </c>
      <c r="I539" s="2" t="str" cm="1">
        <f t="array" ref="I539">_xlfn.IFS(OR(D539="",E539="",F539=""),"",MOD(D539,12)&lt;&gt;0,"",MOD(D539,12)=0,"Year End"&amp;" "&amp;D539/12)</f>
        <v/>
      </c>
      <c r="V539">
        <v>528</v>
      </c>
    </row>
    <row r="540" spans="4:22">
      <c r="D540" s="30" t="str">
        <f>IF(V540&lt;=calcs!$F$4,'Loan Calculator'!V540,"")</f>
        <v/>
      </c>
      <c r="E540" s="27" t="str" cm="1">
        <f t="array" ref="E540">_xlfn.IFS(F540="","",G539&lt;F539,G539*calcs!$H$3,$D$8&lt;=0,$M$3-F540,$D$8&gt;0,$M$3-F540+$D$8,G539&lt;F539,G540*calcs!$H$3)</f>
        <v/>
      </c>
      <c r="F540" s="27" t="str" cm="1">
        <f t="array" ref="F540">_xlfn.IFS(F539="","",G539=0,"",G539&lt;1,"",G539&lt;F539,G539,AND(G539&gt;0,$D$8&gt;0),$D$8+($M$3-(G539*calcs!$H$3)),G539&gt;0,$M$3-(G539*calcs!$H$3))</f>
        <v/>
      </c>
      <c r="G540" s="27" t="str" cm="1">
        <f t="array" ref="G540">_xlfn.IFS(F540="","",G539-F540&lt;1,0,ISBLANK(F540)=TRUE,"",G539-F540&gt;1,G539-F540)</f>
        <v/>
      </c>
      <c r="H540" s="31" t="str">
        <f t="shared" si="9"/>
        <v/>
      </c>
      <c r="I540" s="2" t="str" cm="1">
        <f t="array" ref="I540">_xlfn.IFS(OR(D540="",E540="",F540=""),"",MOD(D540,12)&lt;&gt;0,"",MOD(D540,12)=0,"Year End"&amp;" "&amp;D540/12)</f>
        <v/>
      </c>
      <c r="V540">
        <v>529</v>
      </c>
    </row>
    <row r="541" spans="4:22">
      <c r="D541" s="32" t="str">
        <f>IF(V541&lt;=calcs!$F$4,'Loan Calculator'!V541,"")</f>
        <v/>
      </c>
      <c r="E541" s="29" t="str" cm="1">
        <f t="array" ref="E541">_xlfn.IFS(F541="","",G540&lt;F540,G540*calcs!$H$3,$D$8&lt;=0,$M$3-F541,$D$8&gt;0,$M$3-F541+$D$8,G540&lt;F540,G541*calcs!$H$3)</f>
        <v/>
      </c>
      <c r="F541" s="29" t="str" cm="1">
        <f t="array" ref="F541">_xlfn.IFS(F540="","",G540=0,"",G540&lt;1,"",G540&lt;F540,G540,AND(G540&gt;0,$D$8&gt;0),$D$8+($M$3-(G540*calcs!$H$3)),G540&gt;0,$M$3-(G540*calcs!$H$3))</f>
        <v/>
      </c>
      <c r="G541" s="29" t="str" cm="1">
        <f t="array" ref="G541">_xlfn.IFS(F541="","",G540-F541&lt;1,0,ISBLANK(F541)=TRUE,"",G540-F541&gt;1,G540-F541)</f>
        <v/>
      </c>
      <c r="H541" s="33" t="str">
        <f t="shared" si="9"/>
        <v/>
      </c>
      <c r="I541" s="2" t="str" cm="1">
        <f t="array" ref="I541">_xlfn.IFS(OR(D541="",E541="",F541=""),"",MOD(D541,12)&lt;&gt;0,"",MOD(D541,12)=0,"Year End"&amp;" "&amp;D541/12)</f>
        <v/>
      </c>
      <c r="V541">
        <v>530</v>
      </c>
    </row>
    <row r="542" spans="4:22">
      <c r="D542" s="30" t="str">
        <f>IF(V542&lt;=calcs!$F$4,'Loan Calculator'!V542,"")</f>
        <v/>
      </c>
      <c r="E542" s="27" t="str" cm="1">
        <f t="array" ref="E542">_xlfn.IFS(F542="","",G541&lt;F541,G541*calcs!$H$3,$D$8&lt;=0,$M$3-F542,$D$8&gt;0,$M$3-F542+$D$8,G541&lt;F541,G542*calcs!$H$3)</f>
        <v/>
      </c>
      <c r="F542" s="27" t="str" cm="1">
        <f t="array" ref="F542">_xlfn.IFS(F541="","",G541=0,"",G541&lt;1,"",G541&lt;F541,G541,AND(G541&gt;0,$D$8&gt;0),$D$8+($M$3-(G541*calcs!$H$3)),G541&gt;0,$M$3-(G541*calcs!$H$3))</f>
        <v/>
      </c>
      <c r="G542" s="27" t="str" cm="1">
        <f t="array" ref="G542">_xlfn.IFS(F542="","",G541-F542&lt;1,0,ISBLANK(F542)=TRUE,"",G541-F542&gt;1,G541-F542)</f>
        <v/>
      </c>
      <c r="H542" s="31" t="str">
        <f t="shared" si="9"/>
        <v/>
      </c>
      <c r="I542" s="2" t="str" cm="1">
        <f t="array" ref="I542">_xlfn.IFS(OR(D542="",E542="",F542=""),"",MOD(D542,12)&lt;&gt;0,"",MOD(D542,12)=0,"Year End"&amp;" "&amp;D542/12)</f>
        <v/>
      </c>
      <c r="V542">
        <v>531</v>
      </c>
    </row>
    <row r="543" spans="4:22">
      <c r="D543" s="32" t="str">
        <f>IF(V543&lt;=calcs!$F$4,'Loan Calculator'!V543,"")</f>
        <v/>
      </c>
      <c r="E543" s="29" t="str" cm="1">
        <f t="array" ref="E543">_xlfn.IFS(F543="","",G542&lt;F542,G542*calcs!$H$3,$D$8&lt;=0,$M$3-F543,$D$8&gt;0,$M$3-F543+$D$8,G542&lt;F542,G543*calcs!$H$3)</f>
        <v/>
      </c>
      <c r="F543" s="29" t="str" cm="1">
        <f t="array" ref="F543">_xlfn.IFS(F542="","",G542=0,"",G542&lt;1,"",G542&lt;F542,G542,AND(G542&gt;0,$D$8&gt;0),$D$8+($M$3-(G542*calcs!$H$3)),G542&gt;0,$M$3-(G542*calcs!$H$3))</f>
        <v/>
      </c>
      <c r="G543" s="29" t="str" cm="1">
        <f t="array" ref="G543">_xlfn.IFS(F543="","",G542-F543&lt;1,0,ISBLANK(F543)=TRUE,"",G542-F543&gt;1,G542-F543)</f>
        <v/>
      </c>
      <c r="H543" s="33" t="str">
        <f t="shared" si="9"/>
        <v/>
      </c>
      <c r="I543" s="2" t="str" cm="1">
        <f t="array" ref="I543">_xlfn.IFS(OR(D543="",E543="",F543=""),"",MOD(D543,12)&lt;&gt;0,"",MOD(D543,12)=0,"Year End"&amp;" "&amp;D543/12)</f>
        <v/>
      </c>
      <c r="V543">
        <v>532</v>
      </c>
    </row>
    <row r="544" spans="4:22">
      <c r="D544" s="30" t="str">
        <f>IF(V544&lt;=calcs!$F$4,'Loan Calculator'!V544,"")</f>
        <v/>
      </c>
      <c r="E544" s="27" t="str" cm="1">
        <f t="array" ref="E544">_xlfn.IFS(F544="","",G543&lt;F543,G543*calcs!$H$3,$D$8&lt;=0,$M$3-F544,$D$8&gt;0,$M$3-F544+$D$8,G543&lt;F543,G544*calcs!$H$3)</f>
        <v/>
      </c>
      <c r="F544" s="27" t="str" cm="1">
        <f t="array" ref="F544">_xlfn.IFS(F543="","",G543=0,"",G543&lt;1,"",G543&lt;F543,G543,AND(G543&gt;0,$D$8&gt;0),$D$8+($M$3-(G543*calcs!$H$3)),G543&gt;0,$M$3-(G543*calcs!$H$3))</f>
        <v/>
      </c>
      <c r="G544" s="27" t="str" cm="1">
        <f t="array" ref="G544">_xlfn.IFS(F544="","",G543-F544&lt;1,0,ISBLANK(F544)=TRUE,"",G543-F544&gt;1,G543-F544)</f>
        <v/>
      </c>
      <c r="H544" s="31" t="str">
        <f t="shared" si="9"/>
        <v/>
      </c>
      <c r="I544" s="2" t="str" cm="1">
        <f t="array" ref="I544">_xlfn.IFS(OR(D544="",E544="",F544=""),"",MOD(D544,12)&lt;&gt;0,"",MOD(D544,12)=0,"Year End"&amp;" "&amp;D544/12)</f>
        <v/>
      </c>
      <c r="V544">
        <v>533</v>
      </c>
    </row>
    <row r="545" spans="4:22">
      <c r="D545" s="32" t="str">
        <f>IF(V545&lt;=calcs!$F$4,'Loan Calculator'!V545,"")</f>
        <v/>
      </c>
      <c r="E545" s="29" t="str" cm="1">
        <f t="array" ref="E545">_xlfn.IFS(F545="","",G544&lt;F544,G544*calcs!$H$3,$D$8&lt;=0,$M$3-F545,$D$8&gt;0,$M$3-F545+$D$8,G544&lt;F544,G545*calcs!$H$3)</f>
        <v/>
      </c>
      <c r="F545" s="29" t="str" cm="1">
        <f t="array" ref="F545">_xlfn.IFS(F544="","",G544=0,"",G544&lt;1,"",G544&lt;F544,G544,AND(G544&gt;0,$D$8&gt;0),$D$8+($M$3-(G544*calcs!$H$3)),G544&gt;0,$M$3-(G544*calcs!$H$3))</f>
        <v/>
      </c>
      <c r="G545" s="29" t="str" cm="1">
        <f t="array" ref="G545">_xlfn.IFS(F545="","",G544-F545&lt;1,0,ISBLANK(F545)=TRUE,"",G544-F545&gt;1,G544-F545)</f>
        <v/>
      </c>
      <c r="H545" s="33" t="str">
        <f t="shared" si="9"/>
        <v/>
      </c>
      <c r="I545" s="2" t="str" cm="1">
        <f t="array" ref="I545">_xlfn.IFS(OR(D545="",E545="",F545=""),"",MOD(D545,12)&lt;&gt;0,"",MOD(D545,12)=0,"Year End"&amp;" "&amp;D545/12)</f>
        <v/>
      </c>
      <c r="V545">
        <v>534</v>
      </c>
    </row>
    <row r="546" spans="4:22">
      <c r="D546" s="30" t="str">
        <f>IF(V546&lt;=calcs!$F$4,'Loan Calculator'!V546,"")</f>
        <v/>
      </c>
      <c r="E546" s="27" t="str" cm="1">
        <f t="array" ref="E546">_xlfn.IFS(F546="","",G545&lt;F545,G545*calcs!$H$3,$D$8&lt;=0,$M$3-F546,$D$8&gt;0,$M$3-F546+$D$8,G545&lt;F545,G546*calcs!$H$3)</f>
        <v/>
      </c>
      <c r="F546" s="27" t="str" cm="1">
        <f t="array" ref="F546">_xlfn.IFS(F545="","",G545=0,"",G545&lt;1,"",G545&lt;F545,G545,AND(G545&gt;0,$D$8&gt;0),$D$8+($M$3-(G545*calcs!$H$3)),G545&gt;0,$M$3-(G545*calcs!$H$3))</f>
        <v/>
      </c>
      <c r="G546" s="27" t="str" cm="1">
        <f t="array" ref="G546">_xlfn.IFS(F546="","",G545-F546&lt;1,0,ISBLANK(F546)=TRUE,"",G545-F546&gt;1,G545-F546)</f>
        <v/>
      </c>
      <c r="H546" s="31" t="str">
        <f t="shared" si="9"/>
        <v/>
      </c>
      <c r="I546" s="2" t="str" cm="1">
        <f t="array" ref="I546">_xlfn.IFS(OR(D546="",E546="",F546=""),"",MOD(D546,12)&lt;&gt;0,"",MOD(D546,12)=0,"Year End"&amp;" "&amp;D546/12)</f>
        <v/>
      </c>
      <c r="V546">
        <v>535</v>
      </c>
    </row>
    <row r="547" spans="4:22">
      <c r="D547" s="32" t="str">
        <f>IF(V547&lt;=calcs!$F$4,'Loan Calculator'!V547,"")</f>
        <v/>
      </c>
      <c r="E547" s="29" t="str" cm="1">
        <f t="array" ref="E547">_xlfn.IFS(F547="","",G546&lt;F546,G546*calcs!$H$3,$D$8&lt;=0,$M$3-F547,$D$8&gt;0,$M$3-F547+$D$8,G546&lt;F546,G547*calcs!$H$3)</f>
        <v/>
      </c>
      <c r="F547" s="29" t="str" cm="1">
        <f t="array" ref="F547">_xlfn.IFS(F546="","",G546=0,"",G546&lt;1,"",G546&lt;F546,G546,AND(G546&gt;0,$D$8&gt;0),$D$8+($M$3-(G546*calcs!$H$3)),G546&gt;0,$M$3-(G546*calcs!$H$3))</f>
        <v/>
      </c>
      <c r="G547" s="29" t="str" cm="1">
        <f t="array" ref="G547">_xlfn.IFS(F547="","",G546-F547&lt;1,0,ISBLANK(F547)=TRUE,"",G546-F547&gt;1,G546-F547)</f>
        <v/>
      </c>
      <c r="H547" s="33" t="str">
        <f t="shared" si="9"/>
        <v/>
      </c>
      <c r="I547" s="2" t="str" cm="1">
        <f t="array" ref="I547">_xlfn.IFS(OR(D547="",E547="",F547=""),"",MOD(D547,12)&lt;&gt;0,"",MOD(D547,12)=0,"Year End"&amp;" "&amp;D547/12)</f>
        <v/>
      </c>
      <c r="V547">
        <v>536</v>
      </c>
    </row>
    <row r="548" spans="4:22">
      <c r="D548" s="30" t="str">
        <f>IF(V548&lt;=calcs!$F$4,'Loan Calculator'!V548,"")</f>
        <v/>
      </c>
      <c r="E548" s="27" t="str" cm="1">
        <f t="array" ref="E548">_xlfn.IFS(F548="","",G547&lt;F547,G547*calcs!$H$3,$D$8&lt;=0,$M$3-F548,$D$8&gt;0,$M$3-F548+$D$8,G547&lt;F547,G548*calcs!$H$3)</f>
        <v/>
      </c>
      <c r="F548" s="27" t="str" cm="1">
        <f t="array" ref="F548">_xlfn.IFS(F547="","",G547=0,"",G547&lt;1,"",G547&lt;F547,G547,AND(G547&gt;0,$D$8&gt;0),$D$8+($M$3-(G547*calcs!$H$3)),G547&gt;0,$M$3-(G547*calcs!$H$3))</f>
        <v/>
      </c>
      <c r="G548" s="27" t="str" cm="1">
        <f t="array" ref="G548">_xlfn.IFS(F548="","",G547-F548&lt;1,0,ISBLANK(F548)=TRUE,"",G547-F548&gt;1,G547-F548)</f>
        <v/>
      </c>
      <c r="H548" s="31" t="str">
        <f t="shared" si="9"/>
        <v/>
      </c>
      <c r="I548" s="2" t="str" cm="1">
        <f t="array" ref="I548">_xlfn.IFS(OR(D548="",E548="",F548=""),"",MOD(D548,12)&lt;&gt;0,"",MOD(D548,12)=0,"Year End"&amp;" "&amp;D548/12)</f>
        <v/>
      </c>
      <c r="V548">
        <v>537</v>
      </c>
    </row>
    <row r="549" spans="4:22">
      <c r="D549" s="32" t="str">
        <f>IF(V549&lt;=calcs!$F$4,'Loan Calculator'!V549,"")</f>
        <v/>
      </c>
      <c r="E549" s="29" t="str" cm="1">
        <f t="array" ref="E549">_xlfn.IFS(F549="","",G548&lt;F548,G548*calcs!$H$3,$D$8&lt;=0,$M$3-F549,$D$8&gt;0,$M$3-F549+$D$8,G548&lt;F548,G549*calcs!$H$3)</f>
        <v/>
      </c>
      <c r="F549" s="29" t="str" cm="1">
        <f t="array" ref="F549">_xlfn.IFS(F548="","",G548=0,"",G548&lt;1,"",G548&lt;F548,G548,AND(G548&gt;0,$D$8&gt;0),$D$8+($M$3-(G548*calcs!$H$3)),G548&gt;0,$M$3-(G548*calcs!$H$3))</f>
        <v/>
      </c>
      <c r="G549" s="29" t="str" cm="1">
        <f t="array" ref="G549">_xlfn.IFS(F549="","",G548-F549&lt;1,0,ISBLANK(F549)=TRUE,"",G548-F549&gt;1,G548-F549)</f>
        <v/>
      </c>
      <c r="H549" s="33" t="str">
        <f t="shared" si="9"/>
        <v/>
      </c>
      <c r="I549" s="2" t="str" cm="1">
        <f t="array" ref="I549">_xlfn.IFS(OR(D549="",E549="",F549=""),"",MOD(D549,12)&lt;&gt;0,"",MOD(D549,12)=0,"Year End"&amp;" "&amp;D549/12)</f>
        <v/>
      </c>
      <c r="V549">
        <v>538</v>
      </c>
    </row>
    <row r="550" spans="4:22">
      <c r="D550" s="30" t="str">
        <f>IF(V550&lt;=calcs!$F$4,'Loan Calculator'!V550,"")</f>
        <v/>
      </c>
      <c r="E550" s="27" t="str" cm="1">
        <f t="array" ref="E550">_xlfn.IFS(F550="","",G549&lt;F549,G549*calcs!$H$3,$D$8&lt;=0,$M$3-F550,$D$8&gt;0,$M$3-F550+$D$8,G549&lt;F549,G550*calcs!$H$3)</f>
        <v/>
      </c>
      <c r="F550" s="27" t="str" cm="1">
        <f t="array" ref="F550">_xlfn.IFS(F549="","",G549=0,"",G549&lt;1,"",G549&lt;F549,G549,AND(G549&gt;0,$D$8&gt;0),$D$8+($M$3-(G549*calcs!$H$3)),G549&gt;0,$M$3-(G549*calcs!$H$3))</f>
        <v/>
      </c>
      <c r="G550" s="27" t="str" cm="1">
        <f t="array" ref="G550">_xlfn.IFS(F550="","",G549-F550&lt;1,0,ISBLANK(F550)=TRUE,"",G549-F550&gt;1,G549-F550)</f>
        <v/>
      </c>
      <c r="H550" s="31" t="str">
        <f t="shared" si="9"/>
        <v/>
      </c>
      <c r="I550" s="2" t="str" cm="1">
        <f t="array" ref="I550">_xlfn.IFS(OR(D550="",E550="",F550=""),"",MOD(D550,12)&lt;&gt;0,"",MOD(D550,12)=0,"Year End"&amp;" "&amp;D550/12)</f>
        <v/>
      </c>
      <c r="V550">
        <v>539</v>
      </c>
    </row>
    <row r="551" spans="4:22">
      <c r="D551" s="32" t="str">
        <f>IF(V551&lt;=calcs!$F$4,'Loan Calculator'!V551,"")</f>
        <v/>
      </c>
      <c r="E551" s="29" t="str" cm="1">
        <f t="array" ref="E551">_xlfn.IFS(F551="","",G550&lt;F550,G550*calcs!$H$3,$D$8&lt;=0,$M$3-F551,$D$8&gt;0,$M$3-F551+$D$8,G550&lt;F550,G551*calcs!$H$3)</f>
        <v/>
      </c>
      <c r="F551" s="29" t="str" cm="1">
        <f t="array" ref="F551">_xlfn.IFS(F550="","",G550=0,"",G550&lt;1,"",G550&lt;F550,G550,AND(G550&gt;0,$D$8&gt;0),$D$8+($M$3-(G550*calcs!$H$3)),G550&gt;0,$M$3-(G550*calcs!$H$3))</f>
        <v/>
      </c>
      <c r="G551" s="29" t="str" cm="1">
        <f t="array" ref="G551">_xlfn.IFS(F551="","",G550-F551&lt;1,0,ISBLANK(F551)=TRUE,"",G550-F551&gt;1,G550-F551)</f>
        <v/>
      </c>
      <c r="H551" s="33" t="str">
        <f t="shared" si="9"/>
        <v/>
      </c>
      <c r="I551" s="2" t="str" cm="1">
        <f t="array" ref="I551">_xlfn.IFS(OR(D551="",E551="",F551=""),"",MOD(D551,12)&lt;&gt;0,"",MOD(D551,12)=0,"Year End"&amp;" "&amp;D551/12)</f>
        <v/>
      </c>
      <c r="V551">
        <v>540</v>
      </c>
    </row>
    <row r="552" spans="4:22">
      <c r="D552" s="30" t="str">
        <f>IF(V552&lt;=calcs!$F$4,'Loan Calculator'!V552,"")</f>
        <v/>
      </c>
      <c r="E552" s="27" t="str" cm="1">
        <f t="array" ref="E552">_xlfn.IFS(F552="","",G551&lt;F551,G551*calcs!$H$3,$D$8&lt;=0,$M$3-F552,$D$8&gt;0,$M$3-F552+$D$8,G551&lt;F551,G552*calcs!$H$3)</f>
        <v/>
      </c>
      <c r="F552" s="27" t="str" cm="1">
        <f t="array" ref="F552">_xlfn.IFS(F551="","",G551=0,"",G551&lt;1,"",G551&lt;F551,G551,AND(G551&gt;0,$D$8&gt;0),$D$8+($M$3-(G551*calcs!$H$3)),G551&gt;0,$M$3-(G551*calcs!$H$3))</f>
        <v/>
      </c>
      <c r="G552" s="27" t="str" cm="1">
        <f t="array" ref="G552">_xlfn.IFS(F552="","",G551-F552&lt;1,0,ISBLANK(F552)=TRUE,"",G551-F552&gt;1,G551-F552)</f>
        <v/>
      </c>
      <c r="H552" s="31" t="str">
        <f t="shared" si="9"/>
        <v/>
      </c>
      <c r="I552" s="2" t="str" cm="1">
        <f t="array" ref="I552">_xlfn.IFS(OR(D552="",E552="",F552=""),"",MOD(D552,12)&lt;&gt;0,"",MOD(D552,12)=0,"Year End"&amp;" "&amp;D552/12)</f>
        <v/>
      </c>
      <c r="V552">
        <v>541</v>
      </c>
    </row>
    <row r="553" spans="4:22">
      <c r="D553" s="32" t="str">
        <f>IF(V553&lt;=calcs!$F$4,'Loan Calculator'!V553,"")</f>
        <v/>
      </c>
      <c r="E553" s="29" t="str" cm="1">
        <f t="array" ref="E553">_xlfn.IFS(F553="","",G552&lt;F552,G552*calcs!$H$3,$D$8&lt;=0,$M$3-F553,$D$8&gt;0,$M$3-F553+$D$8,G552&lt;F552,G553*calcs!$H$3)</f>
        <v/>
      </c>
      <c r="F553" s="29" t="str" cm="1">
        <f t="array" ref="F553">_xlfn.IFS(F552="","",G552=0,"",G552&lt;1,"",G552&lt;F552,G552,AND(G552&gt;0,$D$8&gt;0),$D$8+($M$3-(G552*calcs!$H$3)),G552&gt;0,$M$3-(G552*calcs!$H$3))</f>
        <v/>
      </c>
      <c r="G553" s="29" t="str" cm="1">
        <f t="array" ref="G553">_xlfn.IFS(F553="","",G552-F553&lt;1,0,ISBLANK(F553)=TRUE,"",G552-F553&gt;1,G552-F553)</f>
        <v/>
      </c>
      <c r="H553" s="33" t="str">
        <f t="shared" si="9"/>
        <v/>
      </c>
      <c r="I553" s="2" t="str" cm="1">
        <f t="array" ref="I553">_xlfn.IFS(OR(D553="",E553="",F553=""),"",MOD(D553,12)&lt;&gt;0,"",MOD(D553,12)=0,"Year End"&amp;" "&amp;D553/12)</f>
        <v/>
      </c>
      <c r="V553">
        <v>542</v>
      </c>
    </row>
    <row r="554" spans="4:22">
      <c r="D554" s="30" t="str">
        <f>IF(V554&lt;=calcs!$F$4,'Loan Calculator'!V554,"")</f>
        <v/>
      </c>
      <c r="E554" s="27" t="str" cm="1">
        <f t="array" ref="E554">_xlfn.IFS(F554="","",G553&lt;F553,G553*calcs!$H$3,$D$8&lt;=0,$M$3-F554,$D$8&gt;0,$M$3-F554+$D$8,G553&lt;F553,G554*calcs!$H$3)</f>
        <v/>
      </c>
      <c r="F554" s="27" t="str" cm="1">
        <f t="array" ref="F554">_xlfn.IFS(F553="","",G553=0,"",G553&lt;1,"",G553&lt;F553,G553,AND(G553&gt;0,$D$8&gt;0),$D$8+($M$3-(G553*calcs!$H$3)),G553&gt;0,$M$3-(G553*calcs!$H$3))</f>
        <v/>
      </c>
      <c r="G554" s="27" t="str" cm="1">
        <f t="array" ref="G554">_xlfn.IFS(F554="","",G553-F554&lt;1,0,ISBLANK(F554)=TRUE,"",G553-F554&gt;1,G553-F554)</f>
        <v/>
      </c>
      <c r="H554" s="31" t="str">
        <f t="shared" si="9"/>
        <v/>
      </c>
      <c r="I554" s="2" t="str" cm="1">
        <f t="array" ref="I554">_xlfn.IFS(OR(D554="",E554="",F554=""),"",MOD(D554,12)&lt;&gt;0,"",MOD(D554,12)=0,"Year End"&amp;" "&amp;D554/12)</f>
        <v/>
      </c>
      <c r="V554">
        <v>543</v>
      </c>
    </row>
    <row r="555" spans="4:22">
      <c r="D555" s="32" t="str">
        <f>IF(V555&lt;=calcs!$F$4,'Loan Calculator'!V555,"")</f>
        <v/>
      </c>
      <c r="E555" s="29" t="str" cm="1">
        <f t="array" ref="E555">_xlfn.IFS(F555="","",G554&lt;F554,G554*calcs!$H$3,$D$8&lt;=0,$M$3-F555,$D$8&gt;0,$M$3-F555+$D$8,G554&lt;F554,G555*calcs!$H$3)</f>
        <v/>
      </c>
      <c r="F555" s="29" t="str" cm="1">
        <f t="array" ref="F555">_xlfn.IFS(F554="","",G554=0,"",G554&lt;1,"",G554&lt;F554,G554,AND(G554&gt;0,$D$8&gt;0),$D$8+($M$3-(G554*calcs!$H$3)),G554&gt;0,$M$3-(G554*calcs!$H$3))</f>
        <v/>
      </c>
      <c r="G555" s="29" t="str" cm="1">
        <f t="array" ref="G555">_xlfn.IFS(F555="","",G554-F555&lt;1,0,ISBLANK(F555)=TRUE,"",G554-F555&gt;1,G554-F555)</f>
        <v/>
      </c>
      <c r="H555" s="33" t="str">
        <f t="shared" si="9"/>
        <v/>
      </c>
      <c r="I555" s="2" t="str" cm="1">
        <f t="array" ref="I555">_xlfn.IFS(OR(D555="",E555="",F555=""),"",MOD(D555,12)&lt;&gt;0,"",MOD(D555,12)=0,"Year End"&amp;" "&amp;D555/12)</f>
        <v/>
      </c>
      <c r="V555">
        <v>544</v>
      </c>
    </row>
    <row r="556" spans="4:22">
      <c r="D556" s="30" t="str">
        <f>IF(V556&lt;=calcs!$F$4,'Loan Calculator'!V556,"")</f>
        <v/>
      </c>
      <c r="E556" s="27" t="str" cm="1">
        <f t="array" ref="E556">_xlfn.IFS(F556="","",G555&lt;F555,G555*calcs!$H$3,$D$8&lt;=0,$M$3-F556,$D$8&gt;0,$M$3-F556+$D$8,G555&lt;F555,G556*calcs!$H$3)</f>
        <v/>
      </c>
      <c r="F556" s="27" t="str" cm="1">
        <f t="array" ref="F556">_xlfn.IFS(F555="","",G555=0,"",G555&lt;1,"",G555&lt;F555,G555,AND(G555&gt;0,$D$8&gt;0),$D$8+($M$3-(G555*calcs!$H$3)),G555&gt;0,$M$3-(G555*calcs!$H$3))</f>
        <v/>
      </c>
      <c r="G556" s="27" t="str" cm="1">
        <f t="array" ref="G556">_xlfn.IFS(F556="","",G555-F556&lt;1,0,ISBLANK(F556)=TRUE,"",G555-F556&gt;1,G555-F556)</f>
        <v/>
      </c>
      <c r="H556" s="31" t="str">
        <f t="shared" si="9"/>
        <v/>
      </c>
      <c r="I556" s="2" t="str" cm="1">
        <f t="array" ref="I556">_xlfn.IFS(OR(D556="",E556="",F556=""),"",MOD(D556,12)&lt;&gt;0,"",MOD(D556,12)=0,"Year End"&amp;" "&amp;D556/12)</f>
        <v/>
      </c>
      <c r="V556">
        <v>545</v>
      </c>
    </row>
    <row r="557" spans="4:22">
      <c r="D557" s="32" t="str">
        <f>IF(V557&lt;=calcs!$F$4,'Loan Calculator'!V557,"")</f>
        <v/>
      </c>
      <c r="E557" s="29" t="str" cm="1">
        <f t="array" ref="E557">_xlfn.IFS(F557="","",G556&lt;F556,G556*calcs!$H$3,$D$8&lt;=0,$M$3-F557,$D$8&gt;0,$M$3-F557+$D$8,G556&lt;F556,G557*calcs!$H$3)</f>
        <v/>
      </c>
      <c r="F557" s="29" t="str" cm="1">
        <f t="array" ref="F557">_xlfn.IFS(F556="","",G556=0,"",G556&lt;1,"",G556&lt;F556,G556,AND(G556&gt;0,$D$8&gt;0),$D$8+($M$3-(G556*calcs!$H$3)),G556&gt;0,$M$3-(G556*calcs!$H$3))</f>
        <v/>
      </c>
      <c r="G557" s="29" t="str" cm="1">
        <f t="array" ref="G557">_xlfn.IFS(F557="","",G556-F557&lt;1,0,ISBLANK(F557)=TRUE,"",G556-F557&gt;1,G556-F557)</f>
        <v/>
      </c>
      <c r="H557" s="33" t="str">
        <f t="shared" si="9"/>
        <v/>
      </c>
      <c r="I557" s="2" t="str" cm="1">
        <f t="array" ref="I557">_xlfn.IFS(OR(D557="",E557="",F557=""),"",MOD(D557,12)&lt;&gt;0,"",MOD(D557,12)=0,"Year End"&amp;" "&amp;D557/12)</f>
        <v/>
      </c>
      <c r="V557">
        <v>546</v>
      </c>
    </row>
    <row r="558" spans="4:22">
      <c r="D558" s="30" t="str">
        <f>IF(V558&lt;=calcs!$F$4,'Loan Calculator'!V558,"")</f>
        <v/>
      </c>
      <c r="E558" s="27" t="str" cm="1">
        <f t="array" ref="E558">_xlfn.IFS(F558="","",G557&lt;F557,G557*calcs!$H$3,$D$8&lt;=0,$M$3-F558,$D$8&gt;0,$M$3-F558+$D$8,G557&lt;F557,G558*calcs!$H$3)</f>
        <v/>
      </c>
      <c r="F558" s="27" t="str" cm="1">
        <f t="array" ref="F558">_xlfn.IFS(F557="","",G557=0,"",G557&lt;1,"",G557&lt;F557,G557,AND(G557&gt;0,$D$8&gt;0),$D$8+($M$3-(G557*calcs!$H$3)),G557&gt;0,$M$3-(G557*calcs!$H$3))</f>
        <v/>
      </c>
      <c r="G558" s="27" t="str" cm="1">
        <f t="array" ref="G558">_xlfn.IFS(F558="","",G557-F558&lt;1,0,ISBLANK(F558)=TRUE,"",G557-F558&gt;1,G557-F558)</f>
        <v/>
      </c>
      <c r="H558" s="31" t="str">
        <f t="shared" si="9"/>
        <v/>
      </c>
      <c r="I558" s="2" t="str" cm="1">
        <f t="array" ref="I558">_xlfn.IFS(OR(D558="",E558="",F558=""),"",MOD(D558,12)&lt;&gt;0,"",MOD(D558,12)=0,"Year End"&amp;" "&amp;D558/12)</f>
        <v/>
      </c>
      <c r="V558">
        <v>547</v>
      </c>
    </row>
    <row r="559" spans="4:22">
      <c r="D559" s="32" t="str">
        <f>IF(V559&lt;=calcs!$F$4,'Loan Calculator'!V559,"")</f>
        <v/>
      </c>
      <c r="E559" s="29" t="str" cm="1">
        <f t="array" ref="E559">_xlfn.IFS(F559="","",G558&lt;F558,G558*calcs!$H$3,$D$8&lt;=0,$M$3-F559,$D$8&gt;0,$M$3-F559+$D$8,G558&lt;F558,G559*calcs!$H$3)</f>
        <v/>
      </c>
      <c r="F559" s="29" t="str" cm="1">
        <f t="array" ref="F559">_xlfn.IFS(F558="","",G558=0,"",G558&lt;1,"",G558&lt;F558,G558,AND(G558&gt;0,$D$8&gt;0),$D$8+($M$3-(G558*calcs!$H$3)),G558&gt;0,$M$3-(G558*calcs!$H$3))</f>
        <v/>
      </c>
      <c r="G559" s="29" t="str" cm="1">
        <f t="array" ref="G559">_xlfn.IFS(F559="","",G558-F559&lt;1,0,ISBLANK(F559)=TRUE,"",G558-F559&gt;1,G558-F559)</f>
        <v/>
      </c>
      <c r="H559" s="33" t="str">
        <f t="shared" si="9"/>
        <v/>
      </c>
      <c r="I559" s="2" t="str" cm="1">
        <f t="array" ref="I559">_xlfn.IFS(OR(D559="",E559="",F559=""),"",MOD(D559,12)&lt;&gt;0,"",MOD(D559,12)=0,"Year End"&amp;" "&amp;D559/12)</f>
        <v/>
      </c>
      <c r="V559">
        <v>548</v>
      </c>
    </row>
    <row r="560" spans="4:22">
      <c r="D560" s="30" t="str">
        <f>IF(V560&lt;=calcs!$F$4,'Loan Calculator'!V560,"")</f>
        <v/>
      </c>
      <c r="E560" s="27" t="str" cm="1">
        <f t="array" ref="E560">_xlfn.IFS(F560="","",G559&lt;F559,G559*calcs!$H$3,$D$8&lt;=0,$M$3-F560,$D$8&gt;0,$M$3-F560+$D$8,G559&lt;F559,G560*calcs!$H$3)</f>
        <v/>
      </c>
      <c r="F560" s="27" t="str" cm="1">
        <f t="array" ref="F560">_xlfn.IFS(F559="","",G559=0,"",G559&lt;1,"",G559&lt;F559,G559,AND(G559&gt;0,$D$8&gt;0),$D$8+($M$3-(G559*calcs!$H$3)),G559&gt;0,$M$3-(G559*calcs!$H$3))</f>
        <v/>
      </c>
      <c r="G560" s="27" t="str" cm="1">
        <f t="array" ref="G560">_xlfn.IFS(F560="","",G559-F560&lt;1,0,ISBLANK(F560)=TRUE,"",G559-F560&gt;1,G559-F560)</f>
        <v/>
      </c>
      <c r="H560" s="31" t="str">
        <f t="shared" si="9"/>
        <v/>
      </c>
      <c r="I560" s="2" t="str" cm="1">
        <f t="array" ref="I560">_xlfn.IFS(OR(D560="",E560="",F560=""),"",MOD(D560,12)&lt;&gt;0,"",MOD(D560,12)=0,"Year End"&amp;" "&amp;D560/12)</f>
        <v/>
      </c>
      <c r="V560">
        <v>549</v>
      </c>
    </row>
    <row r="561" spans="4:22">
      <c r="D561" s="32" t="str">
        <f>IF(V561&lt;=calcs!$F$4,'Loan Calculator'!V561,"")</f>
        <v/>
      </c>
      <c r="E561" s="29" t="str" cm="1">
        <f t="array" ref="E561">_xlfn.IFS(F561="","",G560&lt;F560,G560*calcs!$H$3,$D$8&lt;=0,$M$3-F561,$D$8&gt;0,$M$3-F561+$D$8,G560&lt;F560,G561*calcs!$H$3)</f>
        <v/>
      </c>
      <c r="F561" s="29" t="str" cm="1">
        <f t="array" ref="F561">_xlfn.IFS(F560="","",G560=0,"",G560&lt;1,"",G560&lt;F560,G560,AND(G560&gt;0,$D$8&gt;0),$D$8+($M$3-(G560*calcs!$H$3)),G560&gt;0,$M$3-(G560*calcs!$H$3))</f>
        <v/>
      </c>
      <c r="G561" s="29" t="str" cm="1">
        <f t="array" ref="G561">_xlfn.IFS(F561="","",G560-F561&lt;1,0,ISBLANK(F561)=TRUE,"",G560-F561&gt;1,G560-F561)</f>
        <v/>
      </c>
      <c r="H561" s="33" t="str">
        <f t="shared" si="9"/>
        <v/>
      </c>
      <c r="I561" s="2" t="str" cm="1">
        <f t="array" ref="I561">_xlfn.IFS(OR(D561="",E561="",F561=""),"",MOD(D561,12)&lt;&gt;0,"",MOD(D561,12)=0,"Year End"&amp;" "&amp;D561/12)</f>
        <v/>
      </c>
      <c r="V561">
        <v>550</v>
      </c>
    </row>
    <row r="562" spans="4:22">
      <c r="D562" s="30" t="str">
        <f>IF(V562&lt;=calcs!$F$4,'Loan Calculator'!V562,"")</f>
        <v/>
      </c>
      <c r="E562" s="27" t="str" cm="1">
        <f t="array" ref="E562">_xlfn.IFS(F562="","",G561&lt;F561,G561*calcs!$H$3,$D$8&lt;=0,$M$3-F562,$D$8&gt;0,$M$3-F562+$D$8,G561&lt;F561,G562*calcs!$H$3)</f>
        <v/>
      </c>
      <c r="F562" s="27" t="str" cm="1">
        <f t="array" ref="F562">_xlfn.IFS(F561="","",G561=0,"",G561&lt;1,"",G561&lt;F561,G561,AND(G561&gt;0,$D$8&gt;0),$D$8+($M$3-(G561*calcs!$H$3)),G561&gt;0,$M$3-(G561*calcs!$H$3))</f>
        <v/>
      </c>
      <c r="G562" s="27" t="str" cm="1">
        <f t="array" ref="G562">_xlfn.IFS(F562="","",G561-F562&lt;1,0,ISBLANK(F562)=TRUE,"",G561-F562&gt;1,G561-F562)</f>
        <v/>
      </c>
      <c r="H562" s="31" t="str">
        <f t="shared" si="9"/>
        <v/>
      </c>
      <c r="I562" s="2" t="str" cm="1">
        <f t="array" ref="I562">_xlfn.IFS(OR(D562="",E562="",F562=""),"",MOD(D562,12)&lt;&gt;0,"",MOD(D562,12)=0,"Year End"&amp;" "&amp;D562/12)</f>
        <v/>
      </c>
      <c r="V562">
        <v>551</v>
      </c>
    </row>
    <row r="563" spans="4:22">
      <c r="D563" s="32" t="str">
        <f>IF(V563&lt;=calcs!$F$4,'Loan Calculator'!V563,"")</f>
        <v/>
      </c>
      <c r="E563" s="29" t="str" cm="1">
        <f t="array" ref="E563">_xlfn.IFS(F563="","",G562&lt;F562,G562*calcs!$H$3,$D$8&lt;=0,$M$3-F563,$D$8&gt;0,$M$3-F563+$D$8,G562&lt;F562,G563*calcs!$H$3)</f>
        <v/>
      </c>
      <c r="F563" s="29" t="str" cm="1">
        <f t="array" ref="F563">_xlfn.IFS(F562="","",G562=0,"",G562&lt;1,"",G562&lt;F562,G562,AND(G562&gt;0,$D$8&gt;0),$D$8+($M$3-(G562*calcs!$H$3)),G562&gt;0,$M$3-(G562*calcs!$H$3))</f>
        <v/>
      </c>
      <c r="G563" s="29" t="str" cm="1">
        <f t="array" ref="G563">_xlfn.IFS(F563="","",G562-F563&lt;1,0,ISBLANK(F563)=TRUE,"",G562-F563&gt;1,G562-F563)</f>
        <v/>
      </c>
      <c r="H563" s="33" t="str">
        <f t="shared" si="9"/>
        <v/>
      </c>
      <c r="I563" s="2" t="str" cm="1">
        <f t="array" ref="I563">_xlfn.IFS(OR(D563="",E563="",F563=""),"",MOD(D563,12)&lt;&gt;0,"",MOD(D563,12)=0,"Year End"&amp;" "&amp;D563/12)</f>
        <v/>
      </c>
      <c r="V563">
        <v>552</v>
      </c>
    </row>
    <row r="564" spans="4:22">
      <c r="D564" s="30" t="str">
        <f>IF(V564&lt;=calcs!$F$4,'Loan Calculator'!V564,"")</f>
        <v/>
      </c>
      <c r="E564" s="27" t="str" cm="1">
        <f t="array" ref="E564">_xlfn.IFS(F564="","",G563&lt;F563,G563*calcs!$H$3,$D$8&lt;=0,$M$3-F564,$D$8&gt;0,$M$3-F564+$D$8,G563&lt;F563,G564*calcs!$H$3)</f>
        <v/>
      </c>
      <c r="F564" s="27" t="str" cm="1">
        <f t="array" ref="F564">_xlfn.IFS(F563="","",G563=0,"",G563&lt;1,"",G563&lt;F563,G563,AND(G563&gt;0,$D$8&gt;0),$D$8+($M$3-(G563*calcs!$H$3)),G563&gt;0,$M$3-(G563*calcs!$H$3))</f>
        <v/>
      </c>
      <c r="G564" s="27" t="str" cm="1">
        <f t="array" ref="G564">_xlfn.IFS(F564="","",G563-F564&lt;1,0,ISBLANK(F564)=TRUE,"",G563-F564&gt;1,G563-F564)</f>
        <v/>
      </c>
      <c r="H564" s="31" t="str">
        <f t="shared" si="9"/>
        <v/>
      </c>
      <c r="I564" s="2" t="str" cm="1">
        <f t="array" ref="I564">_xlfn.IFS(OR(D564="",E564="",F564=""),"",MOD(D564,12)&lt;&gt;0,"",MOD(D564,12)=0,"Year End"&amp;" "&amp;D564/12)</f>
        <v/>
      </c>
      <c r="V564">
        <v>553</v>
      </c>
    </row>
    <row r="565" spans="4:22">
      <c r="D565" s="32" t="str">
        <f>IF(V565&lt;=calcs!$F$4,'Loan Calculator'!V565,"")</f>
        <v/>
      </c>
      <c r="E565" s="29" t="str" cm="1">
        <f t="array" ref="E565">_xlfn.IFS(F565="","",G564&lt;F564,G564*calcs!$H$3,$D$8&lt;=0,$M$3-F565,$D$8&gt;0,$M$3-F565+$D$8,G564&lt;F564,G565*calcs!$H$3)</f>
        <v/>
      </c>
      <c r="F565" s="29" t="str" cm="1">
        <f t="array" ref="F565">_xlfn.IFS(F564="","",G564=0,"",G564&lt;1,"",G564&lt;F564,G564,AND(G564&gt;0,$D$8&gt;0),$D$8+($M$3-(G564*calcs!$H$3)),G564&gt;0,$M$3-(G564*calcs!$H$3))</f>
        <v/>
      </c>
      <c r="G565" s="29" t="str" cm="1">
        <f t="array" ref="G565">_xlfn.IFS(F565="","",G564-F565&lt;1,0,ISBLANK(F565)=TRUE,"",G564-F565&gt;1,G564-F565)</f>
        <v/>
      </c>
      <c r="H565" s="33" t="str">
        <f t="shared" si="9"/>
        <v/>
      </c>
      <c r="I565" s="2" t="str" cm="1">
        <f t="array" ref="I565">_xlfn.IFS(OR(D565="",E565="",F565=""),"",MOD(D565,12)&lt;&gt;0,"",MOD(D565,12)=0,"Year End"&amp;" "&amp;D565/12)</f>
        <v/>
      </c>
      <c r="V565">
        <v>554</v>
      </c>
    </row>
    <row r="566" spans="4:22">
      <c r="D566" s="30" t="str">
        <f>IF(V566&lt;=calcs!$F$4,'Loan Calculator'!V566,"")</f>
        <v/>
      </c>
      <c r="E566" s="27" t="str" cm="1">
        <f t="array" ref="E566">_xlfn.IFS(F566="","",G565&lt;F565,G565*calcs!$H$3,$D$8&lt;=0,$M$3-F566,$D$8&gt;0,$M$3-F566+$D$8,G565&lt;F565,G566*calcs!$H$3)</f>
        <v/>
      </c>
      <c r="F566" s="27" t="str" cm="1">
        <f t="array" ref="F566">_xlfn.IFS(F565="","",G565=0,"",G565&lt;1,"",G565&lt;F565,G565,AND(G565&gt;0,$D$8&gt;0),$D$8+($M$3-(G565*calcs!$H$3)),G565&gt;0,$M$3-(G565*calcs!$H$3))</f>
        <v/>
      </c>
      <c r="G566" s="27" t="str" cm="1">
        <f t="array" ref="G566">_xlfn.IFS(F566="","",G565-F566&lt;1,0,ISBLANK(F566)=TRUE,"",G565-F566&gt;1,G565-F566)</f>
        <v/>
      </c>
      <c r="H566" s="31" t="str">
        <f t="shared" si="9"/>
        <v/>
      </c>
      <c r="I566" s="2" t="str" cm="1">
        <f t="array" ref="I566">_xlfn.IFS(OR(D566="",E566="",F566=""),"",MOD(D566,12)&lt;&gt;0,"",MOD(D566,12)=0,"Year End"&amp;" "&amp;D566/12)</f>
        <v/>
      </c>
      <c r="V566">
        <v>555</v>
      </c>
    </row>
    <row r="567" spans="4:22">
      <c r="D567" s="32" t="str">
        <f>IF(V567&lt;=calcs!$F$4,'Loan Calculator'!V567,"")</f>
        <v/>
      </c>
      <c r="E567" s="29" t="str" cm="1">
        <f t="array" ref="E567">_xlfn.IFS(F567="","",G566&lt;F566,G566*calcs!$H$3,$D$8&lt;=0,$M$3-F567,$D$8&gt;0,$M$3-F567+$D$8,G566&lt;F566,G567*calcs!$H$3)</f>
        <v/>
      </c>
      <c r="F567" s="29" t="str" cm="1">
        <f t="array" ref="F567">_xlfn.IFS(F566="","",G566=0,"",G566&lt;1,"",G566&lt;F566,G566,AND(G566&gt;0,$D$8&gt;0),$D$8+($M$3-(G566*calcs!$H$3)),G566&gt;0,$M$3-(G566*calcs!$H$3))</f>
        <v/>
      </c>
      <c r="G567" s="29" t="str" cm="1">
        <f t="array" ref="G567">_xlfn.IFS(F567="","",G566-F567&lt;1,0,ISBLANK(F567)=TRUE,"",G566-F567&gt;1,G566-F567)</f>
        <v/>
      </c>
      <c r="H567" s="33" t="str">
        <f t="shared" si="9"/>
        <v/>
      </c>
      <c r="I567" s="2" t="str" cm="1">
        <f t="array" ref="I567">_xlfn.IFS(OR(D567="",E567="",F567=""),"",MOD(D567,12)&lt;&gt;0,"",MOD(D567,12)=0,"Year End"&amp;" "&amp;D567/12)</f>
        <v/>
      </c>
      <c r="V567">
        <v>556</v>
      </c>
    </row>
    <row r="568" spans="4:22">
      <c r="D568" s="30" t="str">
        <f>IF(V568&lt;=calcs!$F$4,'Loan Calculator'!V568,"")</f>
        <v/>
      </c>
      <c r="E568" s="27" t="str" cm="1">
        <f t="array" ref="E568">_xlfn.IFS(F568="","",G567&lt;F567,G567*calcs!$H$3,$D$8&lt;=0,$M$3-F568,$D$8&gt;0,$M$3-F568+$D$8,G567&lt;F567,G568*calcs!$H$3)</f>
        <v/>
      </c>
      <c r="F568" s="27" t="str" cm="1">
        <f t="array" ref="F568">_xlfn.IFS(F567="","",G567=0,"",G567&lt;1,"",G567&lt;F567,G567,AND(G567&gt;0,$D$8&gt;0),$D$8+($M$3-(G567*calcs!$H$3)),G567&gt;0,$M$3-(G567*calcs!$H$3))</f>
        <v/>
      </c>
      <c r="G568" s="27" t="str" cm="1">
        <f t="array" ref="G568">_xlfn.IFS(F568="","",G567-F568&lt;1,0,ISBLANK(F568)=TRUE,"",G567-F568&gt;1,G567-F568)</f>
        <v/>
      </c>
      <c r="H568" s="31" t="str">
        <f t="shared" si="9"/>
        <v/>
      </c>
      <c r="I568" s="2" t="str" cm="1">
        <f t="array" ref="I568">_xlfn.IFS(OR(D568="",E568="",F568=""),"",MOD(D568,12)&lt;&gt;0,"",MOD(D568,12)=0,"Year End"&amp;" "&amp;D568/12)</f>
        <v/>
      </c>
      <c r="V568">
        <v>557</v>
      </c>
    </row>
    <row r="569" spans="4:22">
      <c r="D569" s="32" t="str">
        <f>IF(V569&lt;=calcs!$F$4,'Loan Calculator'!V569,"")</f>
        <v/>
      </c>
      <c r="E569" s="29" t="str" cm="1">
        <f t="array" ref="E569">_xlfn.IFS(F569="","",G568&lt;F568,G568*calcs!$H$3,$D$8&lt;=0,$M$3-F569,$D$8&gt;0,$M$3-F569+$D$8,G568&lt;F568,G569*calcs!$H$3)</f>
        <v/>
      </c>
      <c r="F569" s="29" t="str" cm="1">
        <f t="array" ref="F569">_xlfn.IFS(F568="","",G568=0,"",G568&lt;1,"",G568&lt;F568,G568,AND(G568&gt;0,$D$8&gt;0),$D$8+($M$3-(G568*calcs!$H$3)),G568&gt;0,$M$3-(G568*calcs!$H$3))</f>
        <v/>
      </c>
      <c r="G569" s="29" t="str" cm="1">
        <f t="array" ref="G569">_xlfn.IFS(F569="","",G568-F569&lt;1,0,ISBLANK(F569)=TRUE,"",G568-F569&gt;1,G568-F569)</f>
        <v/>
      </c>
      <c r="H569" s="33" t="str">
        <f t="shared" si="9"/>
        <v/>
      </c>
      <c r="I569" s="2" t="str" cm="1">
        <f t="array" ref="I569">_xlfn.IFS(OR(D569="",E569="",F569=""),"",MOD(D569,12)&lt;&gt;0,"",MOD(D569,12)=0,"Year End"&amp;" "&amp;D569/12)</f>
        <v/>
      </c>
      <c r="V569">
        <v>558</v>
      </c>
    </row>
    <row r="570" spans="4:22">
      <c r="D570" s="30" t="str">
        <f>IF(V570&lt;=calcs!$F$4,'Loan Calculator'!V570,"")</f>
        <v/>
      </c>
      <c r="E570" s="27" t="str" cm="1">
        <f t="array" ref="E570">_xlfn.IFS(F570="","",G569&lt;F569,G569*calcs!$H$3,$D$8&lt;=0,$M$3-F570,$D$8&gt;0,$M$3-F570+$D$8,G569&lt;F569,G570*calcs!$H$3)</f>
        <v/>
      </c>
      <c r="F570" s="27" t="str" cm="1">
        <f t="array" ref="F570">_xlfn.IFS(F569="","",G569=0,"",G569&lt;1,"",G569&lt;F569,G569,AND(G569&gt;0,$D$8&gt;0),$D$8+($M$3-(G569*calcs!$H$3)),G569&gt;0,$M$3-(G569*calcs!$H$3))</f>
        <v/>
      </c>
      <c r="G570" s="27" t="str" cm="1">
        <f t="array" ref="G570">_xlfn.IFS(F570="","",G569-F570&lt;1,0,ISBLANK(F570)=TRUE,"",G569-F570&gt;1,G569-F570)</f>
        <v/>
      </c>
      <c r="H570" s="31" t="str">
        <f t="shared" si="9"/>
        <v/>
      </c>
      <c r="I570" s="2" t="str" cm="1">
        <f t="array" ref="I570">_xlfn.IFS(OR(D570="",E570="",F570=""),"",MOD(D570,12)&lt;&gt;0,"",MOD(D570,12)=0,"Year End"&amp;" "&amp;D570/12)</f>
        <v/>
      </c>
      <c r="V570">
        <v>559</v>
      </c>
    </row>
    <row r="571" spans="4:22">
      <c r="D571" s="32" t="str">
        <f>IF(V571&lt;=calcs!$F$4,'Loan Calculator'!V571,"")</f>
        <v/>
      </c>
      <c r="E571" s="29" t="str" cm="1">
        <f t="array" ref="E571">_xlfn.IFS(F571="","",G570&lt;F570,G570*calcs!$H$3,$D$8&lt;=0,$M$3-F571,$D$8&gt;0,$M$3-F571+$D$8,G570&lt;F570,G571*calcs!$H$3)</f>
        <v/>
      </c>
      <c r="F571" s="29" t="str" cm="1">
        <f t="array" ref="F571">_xlfn.IFS(F570="","",G570=0,"",G570&lt;1,"",G570&lt;F570,G570,AND(G570&gt;0,$D$8&gt;0),$D$8+($M$3-(G570*calcs!$H$3)),G570&gt;0,$M$3-(G570*calcs!$H$3))</f>
        <v/>
      </c>
      <c r="G571" s="29" t="str" cm="1">
        <f t="array" ref="G571">_xlfn.IFS(F571="","",G570-F571&lt;1,0,ISBLANK(F571)=TRUE,"",G570-F571&gt;1,G570-F571)</f>
        <v/>
      </c>
      <c r="H571" s="33" t="str">
        <f t="shared" si="9"/>
        <v/>
      </c>
      <c r="I571" s="2" t="str" cm="1">
        <f t="array" ref="I571">_xlfn.IFS(OR(D571="",E571="",F571=""),"",MOD(D571,12)&lt;&gt;0,"",MOD(D571,12)=0,"Year End"&amp;" "&amp;D571/12)</f>
        <v/>
      </c>
      <c r="V571">
        <v>560</v>
      </c>
    </row>
    <row r="572" spans="4:22">
      <c r="D572" s="30" t="str">
        <f>IF(V572&lt;=calcs!$F$4,'Loan Calculator'!V572,"")</f>
        <v/>
      </c>
      <c r="E572" s="27" t="str" cm="1">
        <f t="array" ref="E572">_xlfn.IFS(F572="","",G571&lt;F571,G571*calcs!$H$3,$D$8&lt;=0,$M$3-F572,$D$8&gt;0,$M$3-F572+$D$8,G571&lt;F571,G572*calcs!$H$3)</f>
        <v/>
      </c>
      <c r="F572" s="27" t="str" cm="1">
        <f t="array" ref="F572">_xlfn.IFS(F571="","",G571=0,"",G571&lt;1,"",G571&lt;F571,G571,AND(G571&gt;0,$D$8&gt;0),$D$8+($M$3-(G571*calcs!$H$3)),G571&gt;0,$M$3-(G571*calcs!$H$3))</f>
        <v/>
      </c>
      <c r="G572" s="27" t="str" cm="1">
        <f t="array" ref="G572">_xlfn.IFS(F572="","",G571-F572&lt;1,0,ISBLANK(F572)=TRUE,"",G571-F572&gt;1,G571-F572)</f>
        <v/>
      </c>
      <c r="H572" s="31" t="str">
        <f t="shared" si="9"/>
        <v/>
      </c>
      <c r="I572" s="2" t="str" cm="1">
        <f t="array" ref="I572">_xlfn.IFS(OR(D572="",E572="",F572=""),"",MOD(D572,12)&lt;&gt;0,"",MOD(D572,12)=0,"Year End"&amp;" "&amp;D572/12)</f>
        <v/>
      </c>
      <c r="V572">
        <v>561</v>
      </c>
    </row>
    <row r="573" spans="4:22">
      <c r="D573" s="32" t="str">
        <f>IF(V573&lt;=calcs!$F$4,'Loan Calculator'!V573,"")</f>
        <v/>
      </c>
      <c r="E573" s="29" t="str" cm="1">
        <f t="array" ref="E573">_xlfn.IFS(F573="","",G572&lt;F572,G572*calcs!$H$3,$D$8&lt;=0,$M$3-F573,$D$8&gt;0,$M$3-F573+$D$8,G572&lt;F572,G573*calcs!$H$3)</f>
        <v/>
      </c>
      <c r="F573" s="29" t="str" cm="1">
        <f t="array" ref="F573">_xlfn.IFS(F572="","",G572=0,"",G572&lt;1,"",G572&lt;F572,G572,AND(G572&gt;0,$D$8&gt;0),$D$8+($M$3-(G572*calcs!$H$3)),G572&gt;0,$M$3-(G572*calcs!$H$3))</f>
        <v/>
      </c>
      <c r="G573" s="29" t="str" cm="1">
        <f t="array" ref="G573">_xlfn.IFS(F573="","",G572-F573&lt;1,0,ISBLANK(F573)=TRUE,"",G572-F573&gt;1,G572-F573)</f>
        <v/>
      </c>
      <c r="H573" s="33" t="str">
        <f t="shared" si="9"/>
        <v/>
      </c>
      <c r="I573" s="2" t="str" cm="1">
        <f t="array" ref="I573">_xlfn.IFS(OR(D573="",E573="",F573=""),"",MOD(D573,12)&lt;&gt;0,"",MOD(D573,12)=0,"Year End"&amp;" "&amp;D573/12)</f>
        <v/>
      </c>
      <c r="V573">
        <v>562</v>
      </c>
    </row>
    <row r="574" spans="4:22">
      <c r="D574" s="30" t="str">
        <f>IF(V574&lt;=calcs!$F$4,'Loan Calculator'!V574,"")</f>
        <v/>
      </c>
      <c r="E574" s="27" t="str" cm="1">
        <f t="array" ref="E574">_xlfn.IFS(F574="","",G573&lt;F573,G573*calcs!$H$3,$D$8&lt;=0,$M$3-F574,$D$8&gt;0,$M$3-F574+$D$8,G573&lt;F573,G574*calcs!$H$3)</f>
        <v/>
      </c>
      <c r="F574" s="27" t="str" cm="1">
        <f t="array" ref="F574">_xlfn.IFS(F573="","",G573=0,"",G573&lt;1,"",G573&lt;F573,G573,AND(G573&gt;0,$D$8&gt;0),$D$8+($M$3-(G573*calcs!$H$3)),G573&gt;0,$M$3-(G573*calcs!$H$3))</f>
        <v/>
      </c>
      <c r="G574" s="27" t="str" cm="1">
        <f t="array" ref="G574">_xlfn.IFS(F574="","",G573-F574&lt;1,0,ISBLANK(F574)=TRUE,"",G573-F574&gt;1,G573-F574)</f>
        <v/>
      </c>
      <c r="H574" s="31" t="str">
        <f t="shared" si="9"/>
        <v/>
      </c>
      <c r="I574" s="2" t="str" cm="1">
        <f t="array" ref="I574">_xlfn.IFS(OR(D574="",E574="",F574=""),"",MOD(D574,12)&lt;&gt;0,"",MOD(D574,12)=0,"Year End"&amp;" "&amp;D574/12)</f>
        <v/>
      </c>
      <c r="V574">
        <v>563</v>
      </c>
    </row>
    <row r="575" spans="4:22">
      <c r="D575" s="32" t="str">
        <f>IF(V575&lt;=calcs!$F$4,'Loan Calculator'!V575,"")</f>
        <v/>
      </c>
      <c r="E575" s="29" t="str" cm="1">
        <f t="array" ref="E575">_xlfn.IFS(F575="","",G574&lt;F574,G574*calcs!$H$3,$D$8&lt;=0,$M$3-F575,$D$8&gt;0,$M$3-F575+$D$8,G574&lt;F574,G575*calcs!$H$3)</f>
        <v/>
      </c>
      <c r="F575" s="29" t="str" cm="1">
        <f t="array" ref="F575">_xlfn.IFS(F574="","",G574=0,"",G574&lt;1,"",G574&lt;F574,G574,AND(G574&gt;0,$D$8&gt;0),$D$8+($M$3-(G574*calcs!$H$3)),G574&gt;0,$M$3-(G574*calcs!$H$3))</f>
        <v/>
      </c>
      <c r="G575" s="29" t="str" cm="1">
        <f t="array" ref="G575">_xlfn.IFS(F575="","",G574-F575&lt;1,0,ISBLANK(F575)=TRUE,"",G574-F575&gt;1,G574-F575)</f>
        <v/>
      </c>
      <c r="H575" s="33" t="str">
        <f t="shared" si="9"/>
        <v/>
      </c>
      <c r="I575" s="2" t="str" cm="1">
        <f t="array" ref="I575">_xlfn.IFS(OR(D575="",E575="",F575=""),"",MOD(D575,12)&lt;&gt;0,"",MOD(D575,12)=0,"Year End"&amp;" "&amp;D575/12)</f>
        <v/>
      </c>
      <c r="V575">
        <v>564</v>
      </c>
    </row>
    <row r="576" spans="4:22">
      <c r="D576" s="30" t="str">
        <f>IF(V576&lt;=calcs!$F$4,'Loan Calculator'!V576,"")</f>
        <v/>
      </c>
      <c r="E576" s="27" t="str" cm="1">
        <f t="array" ref="E576">_xlfn.IFS(F576="","",G575&lt;F575,G575*calcs!$H$3,$D$8&lt;=0,$M$3-F576,$D$8&gt;0,$M$3-F576+$D$8,G575&lt;F575,G576*calcs!$H$3)</f>
        <v/>
      </c>
      <c r="F576" s="27" t="str" cm="1">
        <f t="array" ref="F576">_xlfn.IFS(F575="","",G575=0,"",G575&lt;1,"",G575&lt;F575,G575,AND(G575&gt;0,$D$8&gt;0),$D$8+($M$3-(G575*calcs!$H$3)),G575&gt;0,$M$3-(G575*calcs!$H$3))</f>
        <v/>
      </c>
      <c r="G576" s="27" t="str" cm="1">
        <f t="array" ref="G576">_xlfn.IFS(F576="","",G575-F576&lt;1,0,ISBLANK(F576)=TRUE,"",G575-F576&gt;1,G575-F576)</f>
        <v/>
      </c>
      <c r="H576" s="31" t="str">
        <f t="shared" si="9"/>
        <v/>
      </c>
      <c r="I576" s="2" t="str" cm="1">
        <f t="array" ref="I576">_xlfn.IFS(OR(D576="",E576="",F576=""),"",MOD(D576,12)&lt;&gt;0,"",MOD(D576,12)=0,"Year End"&amp;" "&amp;D576/12)</f>
        <v/>
      </c>
      <c r="V576">
        <v>565</v>
      </c>
    </row>
    <row r="577" spans="4:22">
      <c r="D577" s="32" t="str">
        <f>IF(V577&lt;=calcs!$F$4,'Loan Calculator'!V577,"")</f>
        <v/>
      </c>
      <c r="E577" s="29" t="str" cm="1">
        <f t="array" ref="E577">_xlfn.IFS(F577="","",G576&lt;F576,G576*calcs!$H$3,$D$8&lt;=0,$M$3-F577,$D$8&gt;0,$M$3-F577+$D$8,G576&lt;F576,G577*calcs!$H$3)</f>
        <v/>
      </c>
      <c r="F577" s="29" t="str" cm="1">
        <f t="array" ref="F577">_xlfn.IFS(F576="","",G576=0,"",G576&lt;1,"",G576&lt;F576,G576,AND(G576&gt;0,$D$8&gt;0),$D$8+($M$3-(G576*calcs!$H$3)),G576&gt;0,$M$3-(G576*calcs!$H$3))</f>
        <v/>
      </c>
      <c r="G577" s="29" t="str" cm="1">
        <f t="array" ref="G577">_xlfn.IFS(F577="","",G576-F577&lt;1,0,ISBLANK(F577)=TRUE,"",G576-F577&gt;1,G576-F577)</f>
        <v/>
      </c>
      <c r="H577" s="33" t="str">
        <f t="shared" si="9"/>
        <v/>
      </c>
      <c r="I577" s="2" t="str" cm="1">
        <f t="array" ref="I577">_xlfn.IFS(OR(D577="",E577="",F577=""),"",MOD(D577,12)&lt;&gt;0,"",MOD(D577,12)=0,"Year End"&amp;" "&amp;D577/12)</f>
        <v/>
      </c>
      <c r="V577">
        <v>566</v>
      </c>
    </row>
    <row r="578" spans="4:22">
      <c r="D578" s="30" t="str">
        <f>IF(V578&lt;=calcs!$F$4,'Loan Calculator'!V578,"")</f>
        <v/>
      </c>
      <c r="E578" s="27" t="str" cm="1">
        <f t="array" ref="E578">_xlfn.IFS(F578="","",G577&lt;F577,G577*calcs!$H$3,$D$8&lt;=0,$M$3-F578,$D$8&gt;0,$M$3-F578+$D$8,G577&lt;F577,G578*calcs!$H$3)</f>
        <v/>
      </c>
      <c r="F578" s="27" t="str" cm="1">
        <f t="array" ref="F578">_xlfn.IFS(F577="","",G577=0,"",G577&lt;1,"",G577&lt;F577,G577,AND(G577&gt;0,$D$8&gt;0),$D$8+($M$3-(G577*calcs!$H$3)),G577&gt;0,$M$3-(G577*calcs!$H$3))</f>
        <v/>
      </c>
      <c r="G578" s="27" t="str" cm="1">
        <f t="array" ref="G578">_xlfn.IFS(F578="","",G577-F578&lt;1,0,ISBLANK(F578)=TRUE,"",G577-F578&gt;1,G577-F578)</f>
        <v/>
      </c>
      <c r="H578" s="31" t="str">
        <f t="shared" si="9"/>
        <v/>
      </c>
      <c r="I578" s="2" t="str" cm="1">
        <f t="array" ref="I578">_xlfn.IFS(OR(D578="",E578="",F578=""),"",MOD(D578,12)&lt;&gt;0,"",MOD(D578,12)=0,"Year End"&amp;" "&amp;D578/12)</f>
        <v/>
      </c>
      <c r="V578">
        <v>567</v>
      </c>
    </row>
    <row r="579" spans="4:22">
      <c r="D579" s="32" t="str">
        <f>IF(V579&lt;=calcs!$F$4,'Loan Calculator'!V579,"")</f>
        <v/>
      </c>
      <c r="E579" s="29" t="str" cm="1">
        <f t="array" ref="E579">_xlfn.IFS(F579="","",G578&lt;F578,G578*calcs!$H$3,$D$8&lt;=0,$M$3-F579,$D$8&gt;0,$M$3-F579+$D$8,G578&lt;F578,G579*calcs!$H$3)</f>
        <v/>
      </c>
      <c r="F579" s="29" t="str" cm="1">
        <f t="array" ref="F579">_xlfn.IFS(F578="","",G578=0,"",G578&lt;1,"",G578&lt;F578,G578,AND(G578&gt;0,$D$8&gt;0),$D$8+($M$3-(G578*calcs!$H$3)),G578&gt;0,$M$3-(G578*calcs!$H$3))</f>
        <v/>
      </c>
      <c r="G579" s="29" t="str" cm="1">
        <f t="array" ref="G579">_xlfn.IFS(F579="","",G578-F579&lt;1,0,ISBLANK(F579)=TRUE,"",G578-F579&gt;1,G578-F579)</f>
        <v/>
      </c>
      <c r="H579" s="33" t="str">
        <f t="shared" si="9"/>
        <v/>
      </c>
      <c r="I579" s="2" t="str" cm="1">
        <f t="array" ref="I579">_xlfn.IFS(OR(D579="",E579="",F579=""),"",MOD(D579,12)&lt;&gt;0,"",MOD(D579,12)=0,"Year End"&amp;" "&amp;D579/12)</f>
        <v/>
      </c>
      <c r="V579">
        <v>568</v>
      </c>
    </row>
    <row r="580" spans="4:22">
      <c r="D580" s="30" t="str">
        <f>IF(V580&lt;=calcs!$F$4,'Loan Calculator'!V580,"")</f>
        <v/>
      </c>
      <c r="E580" s="27" t="str" cm="1">
        <f t="array" ref="E580">_xlfn.IFS(F580="","",G579&lt;F579,G579*calcs!$H$3,$D$8&lt;=0,$M$3-F580,$D$8&gt;0,$M$3-F580+$D$8,G579&lt;F579,G580*calcs!$H$3)</f>
        <v/>
      </c>
      <c r="F580" s="27" t="str" cm="1">
        <f t="array" ref="F580">_xlfn.IFS(F579="","",G579=0,"",G579&lt;1,"",G579&lt;F579,G579,AND(G579&gt;0,$D$8&gt;0),$D$8+($M$3-(G579*calcs!$H$3)),G579&gt;0,$M$3-(G579*calcs!$H$3))</f>
        <v/>
      </c>
      <c r="G580" s="27" t="str" cm="1">
        <f t="array" ref="G580">_xlfn.IFS(F580="","",G579-F580&lt;1,0,ISBLANK(F580)=TRUE,"",G579-F580&gt;1,G579-F580)</f>
        <v/>
      </c>
      <c r="H580" s="31" t="str">
        <f t="shared" si="9"/>
        <v/>
      </c>
      <c r="I580" s="2" t="str" cm="1">
        <f t="array" ref="I580">_xlfn.IFS(OR(D580="",E580="",F580=""),"",MOD(D580,12)&lt;&gt;0,"",MOD(D580,12)=0,"Year End"&amp;" "&amp;D580/12)</f>
        <v/>
      </c>
      <c r="V580">
        <v>569</v>
      </c>
    </row>
    <row r="581" spans="4:22">
      <c r="D581" s="32" t="str">
        <f>IF(V581&lt;=calcs!$F$4,'Loan Calculator'!V581,"")</f>
        <v/>
      </c>
      <c r="E581" s="29" t="str" cm="1">
        <f t="array" ref="E581">_xlfn.IFS(F581="","",G580&lt;F580,G580*calcs!$H$3,$D$8&lt;=0,$M$3-F581,$D$8&gt;0,$M$3-F581+$D$8,G580&lt;F580,G581*calcs!$H$3)</f>
        <v/>
      </c>
      <c r="F581" s="29" t="str" cm="1">
        <f t="array" ref="F581">_xlfn.IFS(F580="","",G580=0,"",G580&lt;1,"",G580&lt;F580,G580,AND(G580&gt;0,$D$8&gt;0),$D$8+($M$3-(G580*calcs!$H$3)),G580&gt;0,$M$3-(G580*calcs!$H$3))</f>
        <v/>
      </c>
      <c r="G581" s="29" t="str" cm="1">
        <f t="array" ref="G581">_xlfn.IFS(F581="","",G580-F581&lt;1,0,ISBLANK(F581)=TRUE,"",G580-F581&gt;1,G580-F581)</f>
        <v/>
      </c>
      <c r="H581" s="33" t="str">
        <f t="shared" si="9"/>
        <v/>
      </c>
      <c r="I581" s="2" t="str" cm="1">
        <f t="array" ref="I581">_xlfn.IFS(OR(D581="",E581="",F581=""),"",MOD(D581,12)&lt;&gt;0,"",MOD(D581,12)=0,"Year End"&amp;" "&amp;D581/12)</f>
        <v/>
      </c>
      <c r="V581">
        <v>570</v>
      </c>
    </row>
    <row r="582" spans="4:22">
      <c r="D582" s="30" t="str">
        <f>IF(V582&lt;=calcs!$F$4,'Loan Calculator'!V582,"")</f>
        <v/>
      </c>
      <c r="E582" s="27" t="str" cm="1">
        <f t="array" ref="E582">_xlfn.IFS(F582="","",G581&lt;F581,G581*calcs!$H$3,$D$8&lt;=0,$M$3-F582,$D$8&gt;0,$M$3-F582+$D$8,G581&lt;F581,G582*calcs!$H$3)</f>
        <v/>
      </c>
      <c r="F582" s="27" t="str" cm="1">
        <f t="array" ref="F582">_xlfn.IFS(F581="","",G581=0,"",G581&lt;1,"",G581&lt;F581,G581,AND(G581&gt;0,$D$8&gt;0),$D$8+($M$3-(G581*calcs!$H$3)),G581&gt;0,$M$3-(G581*calcs!$H$3))</f>
        <v/>
      </c>
      <c r="G582" s="27" t="str" cm="1">
        <f t="array" ref="G582">_xlfn.IFS(F582="","",G581-F582&lt;1,0,ISBLANK(F582)=TRUE,"",G581-F582&gt;1,G581-F582)</f>
        <v/>
      </c>
      <c r="H582" s="31" t="str">
        <f t="shared" si="9"/>
        <v/>
      </c>
      <c r="I582" s="2" t="str" cm="1">
        <f t="array" ref="I582">_xlfn.IFS(OR(D582="",E582="",F582=""),"",MOD(D582,12)&lt;&gt;0,"",MOD(D582,12)=0,"Year End"&amp;" "&amp;D582/12)</f>
        <v/>
      </c>
      <c r="V582">
        <v>571</v>
      </c>
    </row>
    <row r="583" spans="4:22">
      <c r="D583" s="32" t="str">
        <f>IF(V583&lt;=calcs!$F$4,'Loan Calculator'!V583,"")</f>
        <v/>
      </c>
      <c r="E583" s="29" t="str" cm="1">
        <f t="array" ref="E583">_xlfn.IFS(F583="","",G582&lt;F582,G582*calcs!$H$3,$D$8&lt;=0,$M$3-F583,$D$8&gt;0,$M$3-F583+$D$8,G582&lt;F582,G583*calcs!$H$3)</f>
        <v/>
      </c>
      <c r="F583" s="29" t="str" cm="1">
        <f t="array" ref="F583">_xlfn.IFS(F582="","",G582=0,"",G582&lt;1,"",G582&lt;F582,G582,AND(G582&gt;0,$D$8&gt;0),$D$8+($M$3-(G582*calcs!$H$3)),G582&gt;0,$M$3-(G582*calcs!$H$3))</f>
        <v/>
      </c>
      <c r="G583" s="29" t="str" cm="1">
        <f t="array" ref="G583">_xlfn.IFS(F583="","",G582-F583&lt;1,0,ISBLANK(F583)=TRUE,"",G582-F583&gt;1,G582-F583)</f>
        <v/>
      </c>
      <c r="H583" s="33" t="str">
        <f t="shared" si="9"/>
        <v/>
      </c>
      <c r="I583" s="2" t="str" cm="1">
        <f t="array" ref="I583">_xlfn.IFS(OR(D583="",E583="",F583=""),"",MOD(D583,12)&lt;&gt;0,"",MOD(D583,12)=0,"Year End"&amp;" "&amp;D583/12)</f>
        <v/>
      </c>
      <c r="V583">
        <v>572</v>
      </c>
    </row>
    <row r="584" spans="4:22">
      <c r="D584" s="30" t="str">
        <f>IF(V584&lt;=calcs!$F$4,'Loan Calculator'!V584,"")</f>
        <v/>
      </c>
      <c r="E584" s="27" t="str" cm="1">
        <f t="array" ref="E584">_xlfn.IFS(F584="","",G583&lt;F583,G583*calcs!$H$3,$D$8&lt;=0,$M$3-F584,$D$8&gt;0,$M$3-F584+$D$8,G583&lt;F583,G584*calcs!$H$3)</f>
        <v/>
      </c>
      <c r="F584" s="27" t="str" cm="1">
        <f t="array" ref="F584">_xlfn.IFS(F583="","",G583=0,"",G583&lt;1,"",G583&lt;F583,G583,AND(G583&gt;0,$D$8&gt;0),$D$8+($M$3-(G583*calcs!$H$3)),G583&gt;0,$M$3-(G583*calcs!$H$3))</f>
        <v/>
      </c>
      <c r="G584" s="27" t="str" cm="1">
        <f t="array" ref="G584">_xlfn.IFS(F584="","",G583-F584&lt;1,0,ISBLANK(F584)=TRUE,"",G583-F584&gt;1,G583-F584)</f>
        <v/>
      </c>
      <c r="H584" s="31" t="str">
        <f t="shared" si="9"/>
        <v/>
      </c>
      <c r="I584" s="2" t="str" cm="1">
        <f t="array" ref="I584">_xlfn.IFS(OR(D584="",E584="",F584=""),"",MOD(D584,12)&lt;&gt;0,"",MOD(D584,12)=0,"Year End"&amp;" "&amp;D584/12)</f>
        <v/>
      </c>
      <c r="V584">
        <v>573</v>
      </c>
    </row>
    <row r="585" spans="4:22">
      <c r="D585" s="32" t="str">
        <f>IF(V585&lt;=calcs!$F$4,'Loan Calculator'!V585,"")</f>
        <v/>
      </c>
      <c r="E585" s="29" t="str" cm="1">
        <f t="array" ref="E585">_xlfn.IFS(F585="","",G584&lt;F584,G584*calcs!$H$3,$D$8&lt;=0,$M$3-F585,$D$8&gt;0,$M$3-F585+$D$8,G584&lt;F584,G585*calcs!$H$3)</f>
        <v/>
      </c>
      <c r="F585" s="29" t="str" cm="1">
        <f t="array" ref="F585">_xlfn.IFS(F584="","",G584=0,"",G584&lt;1,"",G584&lt;F584,G584,AND(G584&gt;0,$D$8&gt;0),$D$8+($M$3-(G584*calcs!$H$3)),G584&gt;0,$M$3-(G584*calcs!$H$3))</f>
        <v/>
      </c>
      <c r="G585" s="29" t="str" cm="1">
        <f t="array" ref="G585">_xlfn.IFS(F585="","",G584-F585&lt;1,0,ISBLANK(F585)=TRUE,"",G584-F585&gt;1,G584-F585)</f>
        <v/>
      </c>
      <c r="H585" s="33" t="str">
        <f t="shared" si="9"/>
        <v/>
      </c>
      <c r="I585" s="2" t="str" cm="1">
        <f t="array" ref="I585">_xlfn.IFS(OR(D585="",E585="",F585=""),"",MOD(D585,12)&lt;&gt;0,"",MOD(D585,12)=0,"Year End"&amp;" "&amp;D585/12)</f>
        <v/>
      </c>
      <c r="V585">
        <v>574</v>
      </c>
    </row>
    <row r="586" spans="4:22">
      <c r="D586" s="30" t="str">
        <f>IF(V586&lt;=calcs!$F$4,'Loan Calculator'!V586,"")</f>
        <v/>
      </c>
      <c r="E586" s="27" t="str" cm="1">
        <f t="array" ref="E586">_xlfn.IFS(F586="","",G585&lt;F585,G585*calcs!$H$3,$D$8&lt;=0,$M$3-F586,$D$8&gt;0,$M$3-F586+$D$8,G585&lt;F585,G586*calcs!$H$3)</f>
        <v/>
      </c>
      <c r="F586" s="27" t="str" cm="1">
        <f t="array" ref="F586">_xlfn.IFS(F585="","",G585=0,"",G585&lt;1,"",G585&lt;F585,G585,AND(G585&gt;0,$D$8&gt;0),$D$8+($M$3-(G585*calcs!$H$3)),G585&gt;0,$M$3-(G585*calcs!$H$3))</f>
        <v/>
      </c>
      <c r="G586" s="27" t="str" cm="1">
        <f t="array" ref="G586">_xlfn.IFS(F586="","",G585-F586&lt;1,0,ISBLANK(F586)=TRUE,"",G585-F586&gt;1,G585-F586)</f>
        <v/>
      </c>
      <c r="H586" s="31" t="str">
        <f t="shared" si="9"/>
        <v/>
      </c>
      <c r="I586" s="2" t="str" cm="1">
        <f t="array" ref="I586">_xlfn.IFS(OR(D586="",E586="",F586=""),"",MOD(D586,12)&lt;&gt;0,"",MOD(D586,12)=0,"Year End"&amp;" "&amp;D586/12)</f>
        <v/>
      </c>
      <c r="V586">
        <v>575</v>
      </c>
    </row>
    <row r="587" spans="4:22">
      <c r="D587" s="32" t="str">
        <f>IF(V587&lt;=calcs!$F$4,'Loan Calculator'!V587,"")</f>
        <v/>
      </c>
      <c r="E587" s="29" t="str" cm="1">
        <f t="array" ref="E587">_xlfn.IFS(F587="","",G586&lt;F586,G586*calcs!$H$3,$D$8&lt;=0,$M$3-F587,$D$8&gt;0,$M$3-F587+$D$8,G586&lt;F586,G587*calcs!$H$3)</f>
        <v/>
      </c>
      <c r="F587" s="29" t="str" cm="1">
        <f t="array" ref="F587">_xlfn.IFS(F586="","",G586=0,"",G586&lt;1,"",G586&lt;F586,G586,AND(G586&gt;0,$D$8&gt;0),$D$8+($M$3-(G586*calcs!$H$3)),G586&gt;0,$M$3-(G586*calcs!$H$3))</f>
        <v/>
      </c>
      <c r="G587" s="29" t="str" cm="1">
        <f t="array" ref="G587">_xlfn.IFS(F587="","",G586-F587&lt;1,0,ISBLANK(F587)=TRUE,"",G586-F587&gt;1,G586-F587)</f>
        <v/>
      </c>
      <c r="H587" s="33" t="str">
        <f t="shared" si="9"/>
        <v/>
      </c>
      <c r="I587" s="2" t="str" cm="1">
        <f t="array" ref="I587">_xlfn.IFS(OR(D587="",E587="",F587=""),"",MOD(D587,12)&lt;&gt;0,"",MOD(D587,12)=0,"Year End"&amp;" "&amp;D587/12)</f>
        <v/>
      </c>
      <c r="V587">
        <v>576</v>
      </c>
    </row>
    <row r="588" spans="4:22">
      <c r="D588" s="30" t="str">
        <f>IF(V588&lt;=calcs!$F$4,'Loan Calculator'!V588,"")</f>
        <v/>
      </c>
      <c r="E588" s="27" t="str" cm="1">
        <f t="array" ref="E588">_xlfn.IFS(F588="","",G587&lt;F587,G587*calcs!$H$3,$D$8&lt;=0,$M$3-F588,$D$8&gt;0,$M$3-F588+$D$8,G587&lt;F587,G588*calcs!$H$3)</f>
        <v/>
      </c>
      <c r="F588" s="27" t="str" cm="1">
        <f t="array" ref="F588">_xlfn.IFS(F587="","",G587=0,"",G587&lt;1,"",G587&lt;F587,G587,AND(G587&gt;0,$D$8&gt;0),$D$8+($M$3-(G587*calcs!$H$3)),G587&gt;0,$M$3-(G587*calcs!$H$3))</f>
        <v/>
      </c>
      <c r="G588" s="27" t="str" cm="1">
        <f t="array" ref="G588">_xlfn.IFS(F588="","",G587-F588&lt;1,0,ISBLANK(F588)=TRUE,"",G587-F588&gt;1,G587-F588)</f>
        <v/>
      </c>
      <c r="H588" s="31" t="str">
        <f t="shared" si="9"/>
        <v/>
      </c>
      <c r="I588" s="2" t="str" cm="1">
        <f t="array" ref="I588">_xlfn.IFS(OR(D588="",E588="",F588=""),"",MOD(D588,12)&lt;&gt;0,"",MOD(D588,12)=0,"Year End"&amp;" "&amp;D588/12)</f>
        <v/>
      </c>
      <c r="V588">
        <v>577</v>
      </c>
    </row>
    <row r="589" spans="4:22">
      <c r="D589" s="32" t="str">
        <f>IF(V589&lt;=calcs!$F$4,'Loan Calculator'!V589,"")</f>
        <v/>
      </c>
      <c r="E589" s="29" t="str" cm="1">
        <f t="array" ref="E589">_xlfn.IFS(F589="","",G588&lt;F588,G588*calcs!$H$3,$D$8&lt;=0,$M$3-F589,$D$8&gt;0,$M$3-F589+$D$8,G588&lt;F588,G589*calcs!$H$3)</f>
        <v/>
      </c>
      <c r="F589" s="29" t="str" cm="1">
        <f t="array" ref="F589">_xlfn.IFS(F588="","",G588=0,"",G588&lt;1,"",G588&lt;F588,G588,AND(G588&gt;0,$D$8&gt;0),$D$8+($M$3-(G588*calcs!$H$3)),G588&gt;0,$M$3-(G588*calcs!$H$3))</f>
        <v/>
      </c>
      <c r="G589" s="29" t="str" cm="1">
        <f t="array" ref="G589">_xlfn.IFS(F589="","",G588-F589&lt;1,0,ISBLANK(F589)=TRUE,"",G588-F589&gt;1,G588-F589)</f>
        <v/>
      </c>
      <c r="H589" s="33" t="str">
        <f t="shared" si="9"/>
        <v/>
      </c>
      <c r="I589" s="2" t="str" cm="1">
        <f t="array" ref="I589">_xlfn.IFS(OR(D589="",E589="",F589=""),"",MOD(D589,12)&lt;&gt;0,"",MOD(D589,12)=0,"Year End"&amp;" "&amp;D589/12)</f>
        <v/>
      </c>
      <c r="V589">
        <v>578</v>
      </c>
    </row>
    <row r="590" spans="4:22">
      <c r="D590" s="30" t="str">
        <f>IF(V590&lt;=calcs!$F$4,'Loan Calculator'!V590,"")</f>
        <v/>
      </c>
      <c r="E590" s="27" t="str" cm="1">
        <f t="array" ref="E590">_xlfn.IFS(F590="","",G589&lt;F589,G589*calcs!$H$3,$D$8&lt;=0,$M$3-F590,$D$8&gt;0,$M$3-F590+$D$8,G589&lt;F589,G590*calcs!$H$3)</f>
        <v/>
      </c>
      <c r="F590" s="27" t="str" cm="1">
        <f t="array" ref="F590">_xlfn.IFS(F589="","",G589=0,"",G589&lt;1,"",G589&lt;F589,G589,AND(G589&gt;0,$D$8&gt;0),$D$8+($M$3-(G589*calcs!$H$3)),G589&gt;0,$M$3-(G589*calcs!$H$3))</f>
        <v/>
      </c>
      <c r="G590" s="27" t="str" cm="1">
        <f t="array" ref="G590">_xlfn.IFS(F590="","",G589-F590&lt;1,0,ISBLANK(F590)=TRUE,"",G589-F590&gt;1,G589-F590)</f>
        <v/>
      </c>
      <c r="H590" s="31" t="str">
        <f t="shared" ref="H590:H653" si="10">IF(OR(H589=0,H589="",E590="",F590=""),"",H589+E590+F590)</f>
        <v/>
      </c>
      <c r="I590" s="2" t="str" cm="1">
        <f t="array" ref="I590">_xlfn.IFS(OR(D590="",E590="",F590=""),"",MOD(D590,12)&lt;&gt;0,"",MOD(D590,12)=0,"Year End"&amp;" "&amp;D590/12)</f>
        <v/>
      </c>
      <c r="V590">
        <v>579</v>
      </c>
    </row>
    <row r="591" spans="4:22">
      <c r="D591" s="32" t="str">
        <f>IF(V591&lt;=calcs!$F$4,'Loan Calculator'!V591,"")</f>
        <v/>
      </c>
      <c r="E591" s="29" t="str" cm="1">
        <f t="array" ref="E591">_xlfn.IFS(F591="","",G590&lt;F590,G590*calcs!$H$3,$D$8&lt;=0,$M$3-F591,$D$8&gt;0,$M$3-F591+$D$8,G590&lt;F590,G591*calcs!$H$3)</f>
        <v/>
      </c>
      <c r="F591" s="29" t="str" cm="1">
        <f t="array" ref="F591">_xlfn.IFS(F590="","",G590=0,"",G590&lt;1,"",G590&lt;F590,G590,AND(G590&gt;0,$D$8&gt;0),$D$8+($M$3-(G590*calcs!$H$3)),G590&gt;0,$M$3-(G590*calcs!$H$3))</f>
        <v/>
      </c>
      <c r="G591" s="29" t="str" cm="1">
        <f t="array" ref="G591">_xlfn.IFS(F591="","",G590-F591&lt;1,0,ISBLANK(F591)=TRUE,"",G590-F591&gt;1,G590-F591)</f>
        <v/>
      </c>
      <c r="H591" s="33" t="str">
        <f t="shared" si="10"/>
        <v/>
      </c>
      <c r="I591" s="2" t="str" cm="1">
        <f t="array" ref="I591">_xlfn.IFS(OR(D591="",E591="",F591=""),"",MOD(D591,12)&lt;&gt;0,"",MOD(D591,12)=0,"Year End"&amp;" "&amp;D591/12)</f>
        <v/>
      </c>
      <c r="V591">
        <v>580</v>
      </c>
    </row>
    <row r="592" spans="4:22">
      <c r="D592" s="30" t="str">
        <f>IF(V592&lt;=calcs!$F$4,'Loan Calculator'!V592,"")</f>
        <v/>
      </c>
      <c r="E592" s="27" t="str" cm="1">
        <f t="array" ref="E592">_xlfn.IFS(F592="","",G591&lt;F591,G591*calcs!$H$3,$D$8&lt;=0,$M$3-F592,$D$8&gt;0,$M$3-F592+$D$8,G591&lt;F591,G592*calcs!$H$3)</f>
        <v/>
      </c>
      <c r="F592" s="27" t="str" cm="1">
        <f t="array" ref="F592">_xlfn.IFS(F591="","",G591=0,"",G591&lt;1,"",G591&lt;F591,G591,AND(G591&gt;0,$D$8&gt;0),$D$8+($M$3-(G591*calcs!$H$3)),G591&gt;0,$M$3-(G591*calcs!$H$3))</f>
        <v/>
      </c>
      <c r="G592" s="27" t="str" cm="1">
        <f t="array" ref="G592">_xlfn.IFS(F592="","",G591-F592&lt;1,0,ISBLANK(F592)=TRUE,"",G591-F592&gt;1,G591-F592)</f>
        <v/>
      </c>
      <c r="H592" s="31" t="str">
        <f t="shared" si="10"/>
        <v/>
      </c>
      <c r="I592" s="2" t="str" cm="1">
        <f t="array" ref="I592">_xlfn.IFS(OR(D592="",E592="",F592=""),"",MOD(D592,12)&lt;&gt;0,"",MOD(D592,12)=0,"Year End"&amp;" "&amp;D592/12)</f>
        <v/>
      </c>
      <c r="V592">
        <v>581</v>
      </c>
    </row>
    <row r="593" spans="4:22">
      <c r="D593" s="32" t="str">
        <f>IF(V593&lt;=calcs!$F$4,'Loan Calculator'!V593,"")</f>
        <v/>
      </c>
      <c r="E593" s="29" t="str" cm="1">
        <f t="array" ref="E593">_xlfn.IFS(F593="","",G592&lt;F592,G592*calcs!$H$3,$D$8&lt;=0,$M$3-F593,$D$8&gt;0,$M$3-F593+$D$8,G592&lt;F592,G593*calcs!$H$3)</f>
        <v/>
      </c>
      <c r="F593" s="29" t="str" cm="1">
        <f t="array" ref="F593">_xlfn.IFS(F592="","",G592=0,"",G592&lt;1,"",G592&lt;F592,G592,AND(G592&gt;0,$D$8&gt;0),$D$8+($M$3-(G592*calcs!$H$3)),G592&gt;0,$M$3-(G592*calcs!$H$3))</f>
        <v/>
      </c>
      <c r="G593" s="29" t="str" cm="1">
        <f t="array" ref="G593">_xlfn.IFS(F593="","",G592-F593&lt;1,0,ISBLANK(F593)=TRUE,"",G592-F593&gt;1,G592-F593)</f>
        <v/>
      </c>
      <c r="H593" s="33" t="str">
        <f t="shared" si="10"/>
        <v/>
      </c>
      <c r="I593" s="2" t="str" cm="1">
        <f t="array" ref="I593">_xlfn.IFS(OR(D593="",E593="",F593=""),"",MOD(D593,12)&lt;&gt;0,"",MOD(D593,12)=0,"Year End"&amp;" "&amp;D593/12)</f>
        <v/>
      </c>
      <c r="V593">
        <v>582</v>
      </c>
    </row>
    <row r="594" spans="4:22">
      <c r="D594" s="30" t="str">
        <f>IF(V594&lt;=calcs!$F$4,'Loan Calculator'!V594,"")</f>
        <v/>
      </c>
      <c r="E594" s="27" t="str" cm="1">
        <f t="array" ref="E594">_xlfn.IFS(F594="","",G593&lt;F593,G593*calcs!$H$3,$D$8&lt;=0,$M$3-F594,$D$8&gt;0,$M$3-F594+$D$8,G593&lt;F593,G594*calcs!$H$3)</f>
        <v/>
      </c>
      <c r="F594" s="27" t="str" cm="1">
        <f t="array" ref="F594">_xlfn.IFS(F593="","",G593=0,"",G593&lt;1,"",G593&lt;F593,G593,AND(G593&gt;0,$D$8&gt;0),$D$8+($M$3-(G593*calcs!$H$3)),G593&gt;0,$M$3-(G593*calcs!$H$3))</f>
        <v/>
      </c>
      <c r="G594" s="27" t="str" cm="1">
        <f t="array" ref="G594">_xlfn.IFS(F594="","",G593-F594&lt;1,0,ISBLANK(F594)=TRUE,"",G593-F594&gt;1,G593-F594)</f>
        <v/>
      </c>
      <c r="H594" s="31" t="str">
        <f t="shared" si="10"/>
        <v/>
      </c>
      <c r="I594" s="2" t="str" cm="1">
        <f t="array" ref="I594">_xlfn.IFS(OR(D594="",E594="",F594=""),"",MOD(D594,12)&lt;&gt;0,"",MOD(D594,12)=0,"Year End"&amp;" "&amp;D594/12)</f>
        <v/>
      </c>
      <c r="V594">
        <v>583</v>
      </c>
    </row>
    <row r="595" spans="4:22">
      <c r="D595" s="32" t="str">
        <f>IF(V595&lt;=calcs!$F$4,'Loan Calculator'!V595,"")</f>
        <v/>
      </c>
      <c r="E595" s="29" t="str" cm="1">
        <f t="array" ref="E595">_xlfn.IFS(F595="","",G594&lt;F594,G594*calcs!$H$3,$D$8&lt;=0,$M$3-F595,$D$8&gt;0,$M$3-F595+$D$8,G594&lt;F594,G595*calcs!$H$3)</f>
        <v/>
      </c>
      <c r="F595" s="29" t="str" cm="1">
        <f t="array" ref="F595">_xlfn.IFS(F594="","",G594=0,"",G594&lt;1,"",G594&lt;F594,G594,AND(G594&gt;0,$D$8&gt;0),$D$8+($M$3-(G594*calcs!$H$3)),G594&gt;0,$M$3-(G594*calcs!$H$3))</f>
        <v/>
      </c>
      <c r="G595" s="29" t="str" cm="1">
        <f t="array" ref="G595">_xlfn.IFS(F595="","",G594-F595&lt;1,0,ISBLANK(F595)=TRUE,"",G594-F595&gt;1,G594-F595)</f>
        <v/>
      </c>
      <c r="H595" s="33" t="str">
        <f t="shared" si="10"/>
        <v/>
      </c>
      <c r="I595" s="2" t="str" cm="1">
        <f t="array" ref="I595">_xlfn.IFS(OR(D595="",E595="",F595=""),"",MOD(D595,12)&lt;&gt;0,"",MOD(D595,12)=0,"Year End"&amp;" "&amp;D595/12)</f>
        <v/>
      </c>
      <c r="V595">
        <v>584</v>
      </c>
    </row>
    <row r="596" spans="4:22">
      <c r="D596" s="30" t="str">
        <f>IF(V596&lt;=calcs!$F$4,'Loan Calculator'!V596,"")</f>
        <v/>
      </c>
      <c r="E596" s="27" t="str" cm="1">
        <f t="array" ref="E596">_xlfn.IFS(F596="","",G595&lt;F595,G595*calcs!$H$3,$D$8&lt;=0,$M$3-F596,$D$8&gt;0,$M$3-F596+$D$8,G595&lt;F595,G596*calcs!$H$3)</f>
        <v/>
      </c>
      <c r="F596" s="27" t="str" cm="1">
        <f t="array" ref="F596">_xlfn.IFS(F595="","",G595=0,"",G595&lt;1,"",G595&lt;F595,G595,AND(G595&gt;0,$D$8&gt;0),$D$8+($M$3-(G595*calcs!$H$3)),G595&gt;0,$M$3-(G595*calcs!$H$3))</f>
        <v/>
      </c>
      <c r="G596" s="27" t="str" cm="1">
        <f t="array" ref="G596">_xlfn.IFS(F596="","",G595-F596&lt;1,0,ISBLANK(F596)=TRUE,"",G595-F596&gt;1,G595-F596)</f>
        <v/>
      </c>
      <c r="H596" s="31" t="str">
        <f t="shared" si="10"/>
        <v/>
      </c>
      <c r="I596" s="2" t="str" cm="1">
        <f t="array" ref="I596">_xlfn.IFS(OR(D596="",E596="",F596=""),"",MOD(D596,12)&lt;&gt;0,"",MOD(D596,12)=0,"Year End"&amp;" "&amp;D596/12)</f>
        <v/>
      </c>
      <c r="V596">
        <v>585</v>
      </c>
    </row>
    <row r="597" spans="4:22">
      <c r="D597" s="32" t="str">
        <f>IF(V597&lt;=calcs!$F$4,'Loan Calculator'!V597,"")</f>
        <v/>
      </c>
      <c r="E597" s="29" t="str" cm="1">
        <f t="array" ref="E597">_xlfn.IFS(F597="","",G596&lt;F596,G596*calcs!$H$3,$D$8&lt;=0,$M$3-F597,$D$8&gt;0,$M$3-F597+$D$8,G596&lt;F596,G597*calcs!$H$3)</f>
        <v/>
      </c>
      <c r="F597" s="29" t="str" cm="1">
        <f t="array" ref="F597">_xlfn.IFS(F596="","",G596=0,"",G596&lt;1,"",G596&lt;F596,G596,AND(G596&gt;0,$D$8&gt;0),$D$8+($M$3-(G596*calcs!$H$3)),G596&gt;0,$M$3-(G596*calcs!$H$3))</f>
        <v/>
      </c>
      <c r="G597" s="29" t="str" cm="1">
        <f t="array" ref="G597">_xlfn.IFS(F597="","",G596-F597&lt;1,0,ISBLANK(F597)=TRUE,"",G596-F597&gt;1,G596-F597)</f>
        <v/>
      </c>
      <c r="H597" s="33" t="str">
        <f t="shared" si="10"/>
        <v/>
      </c>
      <c r="I597" s="2" t="str" cm="1">
        <f t="array" ref="I597">_xlfn.IFS(OR(D597="",E597="",F597=""),"",MOD(D597,12)&lt;&gt;0,"",MOD(D597,12)=0,"Year End"&amp;" "&amp;D597/12)</f>
        <v/>
      </c>
      <c r="V597">
        <v>586</v>
      </c>
    </row>
    <row r="598" spans="4:22">
      <c r="D598" s="30" t="str">
        <f>IF(V598&lt;=calcs!$F$4,'Loan Calculator'!V598,"")</f>
        <v/>
      </c>
      <c r="E598" s="27" t="str" cm="1">
        <f t="array" ref="E598">_xlfn.IFS(F598="","",G597&lt;F597,G597*calcs!$H$3,$D$8&lt;=0,$M$3-F598,$D$8&gt;0,$M$3-F598+$D$8,G597&lt;F597,G598*calcs!$H$3)</f>
        <v/>
      </c>
      <c r="F598" s="27" t="str" cm="1">
        <f t="array" ref="F598">_xlfn.IFS(F597="","",G597=0,"",G597&lt;1,"",G597&lt;F597,G597,AND(G597&gt;0,$D$8&gt;0),$D$8+($M$3-(G597*calcs!$H$3)),G597&gt;0,$M$3-(G597*calcs!$H$3))</f>
        <v/>
      </c>
      <c r="G598" s="27" t="str" cm="1">
        <f t="array" ref="G598">_xlfn.IFS(F598="","",G597-F598&lt;1,0,ISBLANK(F598)=TRUE,"",G597-F598&gt;1,G597-F598)</f>
        <v/>
      </c>
      <c r="H598" s="31" t="str">
        <f t="shared" si="10"/>
        <v/>
      </c>
      <c r="I598" s="2" t="str" cm="1">
        <f t="array" ref="I598">_xlfn.IFS(OR(D598="",E598="",F598=""),"",MOD(D598,12)&lt;&gt;0,"",MOD(D598,12)=0,"Year End"&amp;" "&amp;D598/12)</f>
        <v/>
      </c>
      <c r="V598">
        <v>587</v>
      </c>
    </row>
    <row r="599" spans="4:22">
      <c r="D599" s="32" t="str">
        <f>IF(V599&lt;=calcs!$F$4,'Loan Calculator'!V599,"")</f>
        <v/>
      </c>
      <c r="E599" s="29" t="str" cm="1">
        <f t="array" ref="E599">_xlfn.IFS(F599="","",G598&lt;F598,G598*calcs!$H$3,$D$8&lt;=0,$M$3-F599,$D$8&gt;0,$M$3-F599+$D$8,G598&lt;F598,G599*calcs!$H$3)</f>
        <v/>
      </c>
      <c r="F599" s="29" t="str" cm="1">
        <f t="array" ref="F599">_xlfn.IFS(F598="","",G598=0,"",G598&lt;1,"",G598&lt;F598,G598,AND(G598&gt;0,$D$8&gt;0),$D$8+($M$3-(G598*calcs!$H$3)),G598&gt;0,$M$3-(G598*calcs!$H$3))</f>
        <v/>
      </c>
      <c r="G599" s="29" t="str" cm="1">
        <f t="array" ref="G599">_xlfn.IFS(F599="","",G598-F599&lt;1,0,ISBLANK(F599)=TRUE,"",G598-F599&gt;1,G598-F599)</f>
        <v/>
      </c>
      <c r="H599" s="33" t="str">
        <f t="shared" si="10"/>
        <v/>
      </c>
      <c r="I599" s="2" t="str" cm="1">
        <f t="array" ref="I599">_xlfn.IFS(OR(D599="",E599="",F599=""),"",MOD(D599,12)&lt;&gt;0,"",MOD(D599,12)=0,"Year End"&amp;" "&amp;D599/12)</f>
        <v/>
      </c>
      <c r="V599">
        <v>588</v>
      </c>
    </row>
    <row r="600" spans="4:22">
      <c r="D600" s="30" t="str">
        <f>IF(V600&lt;=calcs!$F$4,'Loan Calculator'!V600,"")</f>
        <v/>
      </c>
      <c r="E600" s="27" t="str" cm="1">
        <f t="array" ref="E600">_xlfn.IFS(F600="","",G599&lt;F599,G599*calcs!$H$3,$D$8&lt;=0,$M$3-F600,$D$8&gt;0,$M$3-F600+$D$8,G599&lt;F599,G600*calcs!$H$3)</f>
        <v/>
      </c>
      <c r="F600" s="27" t="str" cm="1">
        <f t="array" ref="F600">_xlfn.IFS(F599="","",G599=0,"",G599&lt;1,"",G599&lt;F599,G599,AND(G599&gt;0,$D$8&gt;0),$D$8+($M$3-(G599*calcs!$H$3)),G599&gt;0,$M$3-(G599*calcs!$H$3))</f>
        <v/>
      </c>
      <c r="G600" s="27" t="str" cm="1">
        <f t="array" ref="G600">_xlfn.IFS(F600="","",G599-F600&lt;1,0,ISBLANK(F600)=TRUE,"",G599-F600&gt;1,G599-F600)</f>
        <v/>
      </c>
      <c r="H600" s="31" t="str">
        <f t="shared" si="10"/>
        <v/>
      </c>
      <c r="I600" s="2" t="str" cm="1">
        <f t="array" ref="I600">_xlfn.IFS(OR(D600="",E600="",F600=""),"",MOD(D600,12)&lt;&gt;0,"",MOD(D600,12)=0,"Year End"&amp;" "&amp;D600/12)</f>
        <v/>
      </c>
      <c r="V600">
        <v>589</v>
      </c>
    </row>
    <row r="601" spans="4:22">
      <c r="D601" s="32" t="str">
        <f>IF(V601&lt;=calcs!$F$4,'Loan Calculator'!V601,"")</f>
        <v/>
      </c>
      <c r="E601" s="29" t="str" cm="1">
        <f t="array" ref="E601">_xlfn.IFS(F601="","",G600&lt;F600,G600*calcs!$H$3,$D$8&lt;=0,$M$3-F601,$D$8&gt;0,$M$3-F601+$D$8,G600&lt;F600,G601*calcs!$H$3)</f>
        <v/>
      </c>
      <c r="F601" s="29" t="str" cm="1">
        <f t="array" ref="F601">_xlfn.IFS(F600="","",G600=0,"",G600&lt;1,"",G600&lt;F600,G600,AND(G600&gt;0,$D$8&gt;0),$D$8+($M$3-(G600*calcs!$H$3)),G600&gt;0,$M$3-(G600*calcs!$H$3))</f>
        <v/>
      </c>
      <c r="G601" s="29" t="str" cm="1">
        <f t="array" ref="G601">_xlfn.IFS(F601="","",G600-F601&lt;1,0,ISBLANK(F601)=TRUE,"",G600-F601&gt;1,G600-F601)</f>
        <v/>
      </c>
      <c r="H601" s="33" t="str">
        <f t="shared" si="10"/>
        <v/>
      </c>
      <c r="I601" s="2" t="str" cm="1">
        <f t="array" ref="I601">_xlfn.IFS(OR(D601="",E601="",F601=""),"",MOD(D601,12)&lt;&gt;0,"",MOD(D601,12)=0,"Year End"&amp;" "&amp;D601/12)</f>
        <v/>
      </c>
      <c r="V601">
        <v>590</v>
      </c>
    </row>
    <row r="602" spans="4:22">
      <c r="D602" s="30" t="str">
        <f>IF(V602&lt;=calcs!$F$4,'Loan Calculator'!V602,"")</f>
        <v/>
      </c>
      <c r="E602" s="27" t="str" cm="1">
        <f t="array" ref="E602">_xlfn.IFS(F602="","",G601&lt;F601,G601*calcs!$H$3,$D$8&lt;=0,$M$3-F602,$D$8&gt;0,$M$3-F602+$D$8,G601&lt;F601,G602*calcs!$H$3)</f>
        <v/>
      </c>
      <c r="F602" s="27" t="str" cm="1">
        <f t="array" ref="F602">_xlfn.IFS(F601="","",G601=0,"",G601&lt;1,"",G601&lt;F601,G601,AND(G601&gt;0,$D$8&gt;0),$D$8+($M$3-(G601*calcs!$H$3)),G601&gt;0,$M$3-(G601*calcs!$H$3))</f>
        <v/>
      </c>
      <c r="G602" s="27" t="str" cm="1">
        <f t="array" ref="G602">_xlfn.IFS(F602="","",G601-F602&lt;1,0,ISBLANK(F602)=TRUE,"",G601-F602&gt;1,G601-F602)</f>
        <v/>
      </c>
      <c r="H602" s="31" t="str">
        <f t="shared" si="10"/>
        <v/>
      </c>
      <c r="I602" s="2" t="str" cm="1">
        <f t="array" ref="I602">_xlfn.IFS(OR(D602="",E602="",F602=""),"",MOD(D602,12)&lt;&gt;0,"",MOD(D602,12)=0,"Year End"&amp;" "&amp;D602/12)</f>
        <v/>
      </c>
      <c r="V602">
        <v>591</v>
      </c>
    </row>
    <row r="603" spans="4:22">
      <c r="D603" s="32" t="str">
        <f>IF(V603&lt;=calcs!$F$4,'Loan Calculator'!V603,"")</f>
        <v/>
      </c>
      <c r="E603" s="29" t="str" cm="1">
        <f t="array" ref="E603">_xlfn.IFS(F603="","",G602&lt;F602,G602*calcs!$H$3,$D$8&lt;=0,$M$3-F603,$D$8&gt;0,$M$3-F603+$D$8,G602&lt;F602,G603*calcs!$H$3)</f>
        <v/>
      </c>
      <c r="F603" s="29" t="str" cm="1">
        <f t="array" ref="F603">_xlfn.IFS(F602="","",G602=0,"",G602&lt;1,"",G602&lt;F602,G602,AND(G602&gt;0,$D$8&gt;0),$D$8+($M$3-(G602*calcs!$H$3)),G602&gt;0,$M$3-(G602*calcs!$H$3))</f>
        <v/>
      </c>
      <c r="G603" s="29" t="str" cm="1">
        <f t="array" ref="G603">_xlfn.IFS(F603="","",G602-F603&lt;1,0,ISBLANK(F603)=TRUE,"",G602-F603&gt;1,G602-F603)</f>
        <v/>
      </c>
      <c r="H603" s="33" t="str">
        <f t="shared" si="10"/>
        <v/>
      </c>
      <c r="I603" s="2" t="str" cm="1">
        <f t="array" ref="I603">_xlfn.IFS(OR(D603="",E603="",F603=""),"",MOD(D603,12)&lt;&gt;0,"",MOD(D603,12)=0,"Year End"&amp;" "&amp;D603/12)</f>
        <v/>
      </c>
      <c r="V603">
        <v>592</v>
      </c>
    </row>
    <row r="604" spans="4:22">
      <c r="D604" s="30" t="str">
        <f>IF(V604&lt;=calcs!$F$4,'Loan Calculator'!V604,"")</f>
        <v/>
      </c>
      <c r="E604" s="27" t="str" cm="1">
        <f t="array" ref="E604">_xlfn.IFS(F604="","",G603&lt;F603,G603*calcs!$H$3,$D$8&lt;=0,$M$3-F604,$D$8&gt;0,$M$3-F604+$D$8,G603&lt;F603,G604*calcs!$H$3)</f>
        <v/>
      </c>
      <c r="F604" s="27" t="str" cm="1">
        <f t="array" ref="F604">_xlfn.IFS(F603="","",G603=0,"",G603&lt;1,"",G603&lt;F603,G603,AND(G603&gt;0,$D$8&gt;0),$D$8+($M$3-(G603*calcs!$H$3)),G603&gt;0,$M$3-(G603*calcs!$H$3))</f>
        <v/>
      </c>
      <c r="G604" s="27" t="str" cm="1">
        <f t="array" ref="G604">_xlfn.IFS(F604="","",G603-F604&lt;1,0,ISBLANK(F604)=TRUE,"",G603-F604&gt;1,G603-F604)</f>
        <v/>
      </c>
      <c r="H604" s="31" t="str">
        <f t="shared" si="10"/>
        <v/>
      </c>
      <c r="I604" s="2" t="str" cm="1">
        <f t="array" ref="I604">_xlfn.IFS(OR(D604="",E604="",F604=""),"",MOD(D604,12)&lt;&gt;0,"",MOD(D604,12)=0,"Year End"&amp;" "&amp;D604/12)</f>
        <v/>
      </c>
      <c r="V604">
        <v>593</v>
      </c>
    </row>
    <row r="605" spans="4:22">
      <c r="D605" s="32" t="str">
        <f>IF(V605&lt;=calcs!$F$4,'Loan Calculator'!V605,"")</f>
        <v/>
      </c>
      <c r="E605" s="29" t="str" cm="1">
        <f t="array" ref="E605">_xlfn.IFS(F605="","",G604&lt;F604,G604*calcs!$H$3,$D$8&lt;=0,$M$3-F605,$D$8&gt;0,$M$3-F605+$D$8,G604&lt;F604,G605*calcs!$H$3)</f>
        <v/>
      </c>
      <c r="F605" s="29" t="str" cm="1">
        <f t="array" ref="F605">_xlfn.IFS(F604="","",G604=0,"",G604&lt;1,"",G604&lt;F604,G604,AND(G604&gt;0,$D$8&gt;0),$D$8+($M$3-(G604*calcs!$H$3)),G604&gt;0,$M$3-(G604*calcs!$H$3))</f>
        <v/>
      </c>
      <c r="G605" s="29" t="str" cm="1">
        <f t="array" ref="G605">_xlfn.IFS(F605="","",G604-F605&lt;1,0,ISBLANK(F605)=TRUE,"",G604-F605&gt;1,G604-F605)</f>
        <v/>
      </c>
      <c r="H605" s="33" t="str">
        <f t="shared" si="10"/>
        <v/>
      </c>
      <c r="I605" s="2" t="str" cm="1">
        <f t="array" ref="I605">_xlfn.IFS(OR(D605="",E605="",F605=""),"",MOD(D605,12)&lt;&gt;0,"",MOD(D605,12)=0,"Year End"&amp;" "&amp;D605/12)</f>
        <v/>
      </c>
      <c r="V605">
        <v>594</v>
      </c>
    </row>
    <row r="606" spans="4:22">
      <c r="D606" s="30" t="str">
        <f>IF(V606&lt;=calcs!$F$4,'Loan Calculator'!V606,"")</f>
        <v/>
      </c>
      <c r="E606" s="27" t="str" cm="1">
        <f t="array" ref="E606">_xlfn.IFS(F606="","",G605&lt;F605,G605*calcs!$H$3,$D$8&lt;=0,$M$3-F606,$D$8&gt;0,$M$3-F606+$D$8,G605&lt;F605,G606*calcs!$H$3)</f>
        <v/>
      </c>
      <c r="F606" s="27" t="str" cm="1">
        <f t="array" ref="F606">_xlfn.IFS(F605="","",G605=0,"",G605&lt;1,"",G605&lt;F605,G605,AND(G605&gt;0,$D$8&gt;0),$D$8+($M$3-(G605*calcs!$H$3)),G605&gt;0,$M$3-(G605*calcs!$H$3))</f>
        <v/>
      </c>
      <c r="G606" s="27" t="str" cm="1">
        <f t="array" ref="G606">_xlfn.IFS(F606="","",G605-F606&lt;1,0,ISBLANK(F606)=TRUE,"",G605-F606&gt;1,G605-F606)</f>
        <v/>
      </c>
      <c r="H606" s="31" t="str">
        <f t="shared" si="10"/>
        <v/>
      </c>
      <c r="I606" s="2" t="str" cm="1">
        <f t="array" ref="I606">_xlfn.IFS(OR(D606="",E606="",F606=""),"",MOD(D606,12)&lt;&gt;0,"",MOD(D606,12)=0,"Year End"&amp;" "&amp;D606/12)</f>
        <v/>
      </c>
      <c r="V606">
        <v>595</v>
      </c>
    </row>
    <row r="607" spans="4:22">
      <c r="D607" s="32" t="str">
        <f>IF(V607&lt;=calcs!$F$4,'Loan Calculator'!V607,"")</f>
        <v/>
      </c>
      <c r="E607" s="29" t="str" cm="1">
        <f t="array" ref="E607">_xlfn.IFS(F607="","",G606&lt;F606,G606*calcs!$H$3,$D$8&lt;=0,$M$3-F607,$D$8&gt;0,$M$3-F607+$D$8,G606&lt;F606,G607*calcs!$H$3)</f>
        <v/>
      </c>
      <c r="F607" s="29" t="str" cm="1">
        <f t="array" ref="F607">_xlfn.IFS(F606="","",G606=0,"",G606&lt;1,"",G606&lt;F606,G606,AND(G606&gt;0,$D$8&gt;0),$D$8+($M$3-(G606*calcs!$H$3)),G606&gt;0,$M$3-(G606*calcs!$H$3))</f>
        <v/>
      </c>
      <c r="G607" s="29" t="str" cm="1">
        <f t="array" ref="G607">_xlfn.IFS(F607="","",G606-F607&lt;1,0,ISBLANK(F607)=TRUE,"",G606-F607&gt;1,G606-F607)</f>
        <v/>
      </c>
      <c r="H607" s="33" t="str">
        <f t="shared" si="10"/>
        <v/>
      </c>
      <c r="I607" s="2" t="str" cm="1">
        <f t="array" ref="I607">_xlfn.IFS(OR(D607="",E607="",F607=""),"",MOD(D607,12)&lt;&gt;0,"",MOD(D607,12)=0,"Year End"&amp;" "&amp;D607/12)</f>
        <v/>
      </c>
      <c r="V607">
        <v>596</v>
      </c>
    </row>
    <row r="608" spans="4:22">
      <c r="D608" s="30" t="str">
        <f>IF(V608&lt;=calcs!$F$4,'Loan Calculator'!V608,"")</f>
        <v/>
      </c>
      <c r="E608" s="27" t="str" cm="1">
        <f t="array" ref="E608">_xlfn.IFS(F608="","",G607&lt;F607,G607*calcs!$H$3,$D$8&lt;=0,$M$3-F608,$D$8&gt;0,$M$3-F608+$D$8,G607&lt;F607,G608*calcs!$H$3)</f>
        <v/>
      </c>
      <c r="F608" s="27" t="str" cm="1">
        <f t="array" ref="F608">_xlfn.IFS(F607="","",G607=0,"",G607&lt;1,"",G607&lt;F607,G607,AND(G607&gt;0,$D$8&gt;0),$D$8+($M$3-(G607*calcs!$H$3)),G607&gt;0,$M$3-(G607*calcs!$H$3))</f>
        <v/>
      </c>
      <c r="G608" s="27" t="str" cm="1">
        <f t="array" ref="G608">_xlfn.IFS(F608="","",G607-F608&lt;1,0,ISBLANK(F608)=TRUE,"",G607-F608&gt;1,G607-F608)</f>
        <v/>
      </c>
      <c r="H608" s="31" t="str">
        <f t="shared" si="10"/>
        <v/>
      </c>
      <c r="I608" s="2" t="str" cm="1">
        <f t="array" ref="I608">_xlfn.IFS(OR(D608="",E608="",F608=""),"",MOD(D608,12)&lt;&gt;0,"",MOD(D608,12)=0,"Year End"&amp;" "&amp;D608/12)</f>
        <v/>
      </c>
      <c r="V608">
        <v>597</v>
      </c>
    </row>
    <row r="609" spans="4:22">
      <c r="D609" s="32" t="str">
        <f>IF(V609&lt;=calcs!$F$4,'Loan Calculator'!V609,"")</f>
        <v/>
      </c>
      <c r="E609" s="29" t="str" cm="1">
        <f t="array" ref="E609">_xlfn.IFS(F609="","",G608&lt;F608,G608*calcs!$H$3,$D$8&lt;=0,$M$3-F609,$D$8&gt;0,$M$3-F609+$D$8,G608&lt;F608,G609*calcs!$H$3)</f>
        <v/>
      </c>
      <c r="F609" s="29" t="str" cm="1">
        <f t="array" ref="F609">_xlfn.IFS(F608="","",G608=0,"",G608&lt;1,"",G608&lt;F608,G608,AND(G608&gt;0,$D$8&gt;0),$D$8+($M$3-(G608*calcs!$H$3)),G608&gt;0,$M$3-(G608*calcs!$H$3))</f>
        <v/>
      </c>
      <c r="G609" s="29" t="str" cm="1">
        <f t="array" ref="G609">_xlfn.IFS(F609="","",G608-F609&lt;1,0,ISBLANK(F609)=TRUE,"",G608-F609&gt;1,G608-F609)</f>
        <v/>
      </c>
      <c r="H609" s="33" t="str">
        <f t="shared" si="10"/>
        <v/>
      </c>
      <c r="I609" s="2" t="str" cm="1">
        <f t="array" ref="I609">_xlfn.IFS(OR(D609="",E609="",F609=""),"",MOD(D609,12)&lt;&gt;0,"",MOD(D609,12)=0,"Year End"&amp;" "&amp;D609/12)</f>
        <v/>
      </c>
      <c r="V609">
        <v>598</v>
      </c>
    </row>
    <row r="610" spans="4:22">
      <c r="D610" s="30" t="str">
        <f>IF(V610&lt;=calcs!$F$4,'Loan Calculator'!V610,"")</f>
        <v/>
      </c>
      <c r="E610" s="27" t="str" cm="1">
        <f t="array" ref="E610">_xlfn.IFS(F610="","",G609&lt;F609,G609*calcs!$H$3,$D$8&lt;=0,$M$3-F610,$D$8&gt;0,$M$3-F610+$D$8,G609&lt;F609,G610*calcs!$H$3)</f>
        <v/>
      </c>
      <c r="F610" s="27" t="str" cm="1">
        <f t="array" ref="F610">_xlfn.IFS(F609="","",G609=0,"",G609&lt;1,"",G609&lt;F609,G609,AND(G609&gt;0,$D$8&gt;0),$D$8+($M$3-(G609*calcs!$H$3)),G609&gt;0,$M$3-(G609*calcs!$H$3))</f>
        <v/>
      </c>
      <c r="G610" s="27" t="str" cm="1">
        <f t="array" ref="G610">_xlfn.IFS(F610="","",G609-F610&lt;1,0,ISBLANK(F610)=TRUE,"",G609-F610&gt;1,G609-F610)</f>
        <v/>
      </c>
      <c r="H610" s="31" t="str">
        <f t="shared" si="10"/>
        <v/>
      </c>
      <c r="I610" s="2" t="str" cm="1">
        <f t="array" ref="I610">_xlfn.IFS(OR(D610="",E610="",F610=""),"",MOD(D610,12)&lt;&gt;0,"",MOD(D610,12)=0,"Year End"&amp;" "&amp;D610/12)</f>
        <v/>
      </c>
      <c r="V610">
        <v>599</v>
      </c>
    </row>
    <row r="611" spans="4:22">
      <c r="D611" s="32" t="str">
        <f>IF(V611&lt;=calcs!$F$4,'Loan Calculator'!V611,"")</f>
        <v/>
      </c>
      <c r="E611" s="29" t="str" cm="1">
        <f t="array" ref="E611">_xlfn.IFS(F611="","",G610&lt;F610,G610*calcs!$H$3,$D$8&lt;=0,$M$3-F611,$D$8&gt;0,$M$3-F611+$D$8,G610&lt;F610,G611*calcs!$H$3)</f>
        <v/>
      </c>
      <c r="F611" s="29" t="str" cm="1">
        <f t="array" ref="F611">_xlfn.IFS(F610="","",G610=0,"",G610&lt;1,"",G610&lt;F610,G610,AND(G610&gt;0,$D$8&gt;0),$D$8+($M$3-(G610*calcs!$H$3)),G610&gt;0,$M$3-(G610*calcs!$H$3))</f>
        <v/>
      </c>
      <c r="G611" s="29" t="str" cm="1">
        <f t="array" ref="G611">_xlfn.IFS(F611="","",G610-F611&lt;1,0,ISBLANK(F611)=TRUE,"",G610-F611&gt;1,G610-F611)</f>
        <v/>
      </c>
      <c r="H611" s="33" t="str">
        <f t="shared" si="10"/>
        <v/>
      </c>
      <c r="I611" s="2" t="str" cm="1">
        <f t="array" ref="I611">_xlfn.IFS(OR(D611="",E611="",F611=""),"",MOD(D611,12)&lt;&gt;0,"",MOD(D611,12)=0,"Year End"&amp;" "&amp;D611/12)</f>
        <v/>
      </c>
      <c r="V611">
        <v>600</v>
      </c>
    </row>
    <row r="612" spans="4:22">
      <c r="D612" s="30" t="str">
        <f>IF(V612&lt;=calcs!$F$4,'Loan Calculator'!V612,"")</f>
        <v/>
      </c>
      <c r="E612" s="27" t="str" cm="1">
        <f t="array" ref="E612">_xlfn.IFS(F612="","",G611&lt;F611,G611*calcs!$H$3,$D$8&lt;=0,$M$3-F612,$D$8&gt;0,$M$3-F612+$D$8,G611&lt;F611,G612*calcs!$H$3)</f>
        <v/>
      </c>
      <c r="F612" s="27" t="str" cm="1">
        <f t="array" ref="F612">_xlfn.IFS(F611="","",G611=0,"",G611&lt;1,"",G611&lt;F611,G611,AND(G611&gt;0,$D$8&gt;0),$D$8+($M$3-(G611*calcs!$H$3)),G611&gt;0,$M$3-(G611*calcs!$H$3))</f>
        <v/>
      </c>
      <c r="G612" s="27" t="str" cm="1">
        <f t="array" ref="G612">_xlfn.IFS(F612="","",G611-F612&lt;1,0,ISBLANK(F612)=TRUE,"",G611-F612&gt;1,G611-F612)</f>
        <v/>
      </c>
      <c r="H612" s="31" t="str">
        <f t="shared" si="10"/>
        <v/>
      </c>
      <c r="I612" s="2" t="str" cm="1">
        <f t="array" ref="I612">_xlfn.IFS(OR(D612="",E612="",F612=""),"",MOD(D612,12)&lt;&gt;0,"",MOD(D612,12)=0,"Year End"&amp;" "&amp;D612/12)</f>
        <v/>
      </c>
      <c r="V612">
        <v>601</v>
      </c>
    </row>
    <row r="613" spans="4:22">
      <c r="D613" s="32" t="str">
        <f>IF(V613&lt;=calcs!$F$4,'Loan Calculator'!V613,"")</f>
        <v/>
      </c>
      <c r="E613" s="29" t="str" cm="1">
        <f t="array" ref="E613">_xlfn.IFS(F613="","",G612&lt;F612,G612*calcs!$H$3,$D$8&lt;=0,$M$3-F613,$D$8&gt;0,$M$3-F613+$D$8,G612&lt;F612,G613*calcs!$H$3)</f>
        <v/>
      </c>
      <c r="F613" s="29" t="str" cm="1">
        <f t="array" ref="F613">_xlfn.IFS(F612="","",G612=0,"",G612&lt;1,"",G612&lt;F612,G612,AND(G612&gt;0,$D$8&gt;0),$D$8+($M$3-(G612*calcs!$H$3)),G612&gt;0,$M$3-(G612*calcs!$H$3))</f>
        <v/>
      </c>
      <c r="G613" s="29" t="str" cm="1">
        <f t="array" ref="G613">_xlfn.IFS(F613="","",G612-F613&lt;1,0,ISBLANK(F613)=TRUE,"",G612-F613&gt;1,G612-F613)</f>
        <v/>
      </c>
      <c r="H613" s="33" t="str">
        <f t="shared" si="10"/>
        <v/>
      </c>
      <c r="I613" s="2" t="str" cm="1">
        <f t="array" ref="I613">_xlfn.IFS(OR(D613="",E613="",F613=""),"",MOD(D613,12)&lt;&gt;0,"",MOD(D613,12)=0,"Year End"&amp;" "&amp;D613/12)</f>
        <v/>
      </c>
      <c r="V613">
        <v>602</v>
      </c>
    </row>
    <row r="614" spans="4:22">
      <c r="D614" s="30" t="str">
        <f>IF(V614&lt;=calcs!$F$4,'Loan Calculator'!V614,"")</f>
        <v/>
      </c>
      <c r="E614" s="27" t="str" cm="1">
        <f t="array" ref="E614">_xlfn.IFS(F614="","",G613&lt;F613,G613*calcs!$H$3,$D$8&lt;=0,$M$3-F614,$D$8&gt;0,$M$3-F614+$D$8,G613&lt;F613,G614*calcs!$H$3)</f>
        <v/>
      </c>
      <c r="F614" s="27" t="str" cm="1">
        <f t="array" ref="F614">_xlfn.IFS(F613="","",G613=0,"",G613&lt;1,"",G613&lt;F613,G613,AND(G613&gt;0,$D$8&gt;0),$D$8+($M$3-(G613*calcs!$H$3)),G613&gt;0,$M$3-(G613*calcs!$H$3))</f>
        <v/>
      </c>
      <c r="G614" s="27" t="str" cm="1">
        <f t="array" ref="G614">_xlfn.IFS(F614="","",G613-F614&lt;1,0,ISBLANK(F614)=TRUE,"",G613-F614&gt;1,G613-F614)</f>
        <v/>
      </c>
      <c r="H614" s="31" t="str">
        <f t="shared" si="10"/>
        <v/>
      </c>
      <c r="I614" s="2" t="str" cm="1">
        <f t="array" ref="I614">_xlfn.IFS(OR(D614="",E614="",F614=""),"",MOD(D614,12)&lt;&gt;0,"",MOD(D614,12)=0,"Year End"&amp;" "&amp;D614/12)</f>
        <v/>
      </c>
      <c r="V614">
        <v>603</v>
      </c>
    </row>
    <row r="615" spans="4:22">
      <c r="D615" s="32" t="str">
        <f>IF(V615&lt;=calcs!$F$4,'Loan Calculator'!V615,"")</f>
        <v/>
      </c>
      <c r="E615" s="29" t="str" cm="1">
        <f t="array" ref="E615">_xlfn.IFS(F615="","",G614&lt;F614,G614*calcs!$H$3,$D$8&lt;=0,$M$3-F615,$D$8&gt;0,$M$3-F615+$D$8,G614&lt;F614,G615*calcs!$H$3)</f>
        <v/>
      </c>
      <c r="F615" s="29" t="str" cm="1">
        <f t="array" ref="F615">_xlfn.IFS(F614="","",G614=0,"",G614&lt;1,"",G614&lt;F614,G614,AND(G614&gt;0,$D$8&gt;0),$D$8+($M$3-(G614*calcs!$H$3)),G614&gt;0,$M$3-(G614*calcs!$H$3))</f>
        <v/>
      </c>
      <c r="G615" s="29" t="str" cm="1">
        <f t="array" ref="G615">_xlfn.IFS(F615="","",G614-F615&lt;1,0,ISBLANK(F615)=TRUE,"",G614-F615&gt;1,G614-F615)</f>
        <v/>
      </c>
      <c r="H615" s="33" t="str">
        <f t="shared" si="10"/>
        <v/>
      </c>
      <c r="I615" s="2" t="str" cm="1">
        <f t="array" ref="I615">_xlfn.IFS(OR(D615="",E615="",F615=""),"",MOD(D615,12)&lt;&gt;0,"",MOD(D615,12)=0,"Year End"&amp;" "&amp;D615/12)</f>
        <v/>
      </c>
      <c r="V615">
        <v>604</v>
      </c>
    </row>
    <row r="616" spans="4:22">
      <c r="D616" s="30" t="str">
        <f>IF(V616&lt;=calcs!$F$4,'Loan Calculator'!V616,"")</f>
        <v/>
      </c>
      <c r="E616" s="27" t="str" cm="1">
        <f t="array" ref="E616">_xlfn.IFS(F616="","",G615&lt;F615,G615*calcs!$H$3,$D$8&lt;=0,$M$3-F616,$D$8&gt;0,$M$3-F616+$D$8,G615&lt;F615,G616*calcs!$H$3)</f>
        <v/>
      </c>
      <c r="F616" s="27" t="str" cm="1">
        <f t="array" ref="F616">_xlfn.IFS(F615="","",G615=0,"",G615&lt;1,"",G615&lt;F615,G615,AND(G615&gt;0,$D$8&gt;0),$D$8+($M$3-(G615*calcs!$H$3)),G615&gt;0,$M$3-(G615*calcs!$H$3))</f>
        <v/>
      </c>
      <c r="G616" s="27" t="str" cm="1">
        <f t="array" ref="G616">_xlfn.IFS(F616="","",G615-F616&lt;1,0,ISBLANK(F616)=TRUE,"",G615-F616&gt;1,G615-F616)</f>
        <v/>
      </c>
      <c r="H616" s="31" t="str">
        <f t="shared" si="10"/>
        <v/>
      </c>
      <c r="I616" s="2" t="str" cm="1">
        <f t="array" ref="I616">_xlfn.IFS(OR(D616="",E616="",F616=""),"",MOD(D616,12)&lt;&gt;0,"",MOD(D616,12)=0,"Year End"&amp;" "&amp;D616/12)</f>
        <v/>
      </c>
      <c r="V616">
        <v>605</v>
      </c>
    </row>
    <row r="617" spans="4:22">
      <c r="D617" s="32" t="str">
        <f>IF(V617&lt;=calcs!$F$4,'Loan Calculator'!V617,"")</f>
        <v/>
      </c>
      <c r="E617" s="29" t="str" cm="1">
        <f t="array" ref="E617">_xlfn.IFS(F617="","",G616&lt;F616,G616*calcs!$H$3,$D$8&lt;=0,$M$3-F617,$D$8&gt;0,$M$3-F617+$D$8,G616&lt;F616,G617*calcs!$H$3)</f>
        <v/>
      </c>
      <c r="F617" s="29" t="str" cm="1">
        <f t="array" ref="F617">_xlfn.IFS(F616="","",G616=0,"",G616&lt;1,"",G616&lt;F616,G616,AND(G616&gt;0,$D$8&gt;0),$D$8+($M$3-(G616*calcs!$H$3)),G616&gt;0,$M$3-(G616*calcs!$H$3))</f>
        <v/>
      </c>
      <c r="G617" s="29" t="str" cm="1">
        <f t="array" ref="G617">_xlfn.IFS(F617="","",G616-F617&lt;1,0,ISBLANK(F617)=TRUE,"",G616-F617&gt;1,G616-F617)</f>
        <v/>
      </c>
      <c r="H617" s="33" t="str">
        <f t="shared" si="10"/>
        <v/>
      </c>
      <c r="I617" s="2" t="str" cm="1">
        <f t="array" ref="I617">_xlfn.IFS(OR(D617="",E617="",F617=""),"",MOD(D617,12)&lt;&gt;0,"",MOD(D617,12)=0,"Year End"&amp;" "&amp;D617/12)</f>
        <v/>
      </c>
      <c r="V617">
        <v>606</v>
      </c>
    </row>
    <row r="618" spans="4:22">
      <c r="D618" s="30" t="str">
        <f>IF(V618&lt;=calcs!$F$4,'Loan Calculator'!V618,"")</f>
        <v/>
      </c>
      <c r="E618" s="27" t="str" cm="1">
        <f t="array" ref="E618">_xlfn.IFS(F618="","",G617&lt;F617,G617*calcs!$H$3,$D$8&lt;=0,$M$3-F618,$D$8&gt;0,$M$3-F618+$D$8,G617&lt;F617,G618*calcs!$H$3)</f>
        <v/>
      </c>
      <c r="F618" s="27" t="str" cm="1">
        <f t="array" ref="F618">_xlfn.IFS(F617="","",G617=0,"",G617&lt;1,"",G617&lt;F617,G617,AND(G617&gt;0,$D$8&gt;0),$D$8+($M$3-(G617*calcs!$H$3)),G617&gt;0,$M$3-(G617*calcs!$H$3))</f>
        <v/>
      </c>
      <c r="G618" s="27" t="str" cm="1">
        <f t="array" ref="G618">_xlfn.IFS(F618="","",G617-F618&lt;1,0,ISBLANK(F618)=TRUE,"",G617-F618&gt;1,G617-F618)</f>
        <v/>
      </c>
      <c r="H618" s="31" t="str">
        <f t="shared" si="10"/>
        <v/>
      </c>
      <c r="I618" s="2" t="str" cm="1">
        <f t="array" ref="I618">_xlfn.IFS(OR(D618="",E618="",F618=""),"",MOD(D618,12)&lt;&gt;0,"",MOD(D618,12)=0,"Year End"&amp;" "&amp;D618/12)</f>
        <v/>
      </c>
      <c r="V618">
        <v>607</v>
      </c>
    </row>
    <row r="619" spans="4:22">
      <c r="D619" s="32" t="str">
        <f>IF(V619&lt;=calcs!$F$4,'Loan Calculator'!V619,"")</f>
        <v/>
      </c>
      <c r="E619" s="29" t="str" cm="1">
        <f t="array" ref="E619">_xlfn.IFS(F619="","",G618&lt;F618,G618*calcs!$H$3,$D$8&lt;=0,$M$3-F619,$D$8&gt;0,$M$3-F619+$D$8,G618&lt;F618,G619*calcs!$H$3)</f>
        <v/>
      </c>
      <c r="F619" s="29" t="str" cm="1">
        <f t="array" ref="F619">_xlfn.IFS(F618="","",G618=0,"",G618&lt;1,"",G618&lt;F618,G618,AND(G618&gt;0,$D$8&gt;0),$D$8+($M$3-(G618*calcs!$H$3)),G618&gt;0,$M$3-(G618*calcs!$H$3))</f>
        <v/>
      </c>
      <c r="G619" s="29" t="str" cm="1">
        <f t="array" ref="G619">_xlfn.IFS(F619="","",G618-F619&lt;1,0,ISBLANK(F619)=TRUE,"",G618-F619&gt;1,G618-F619)</f>
        <v/>
      </c>
      <c r="H619" s="33" t="str">
        <f t="shared" si="10"/>
        <v/>
      </c>
      <c r="I619" s="2" t="str" cm="1">
        <f t="array" ref="I619">_xlfn.IFS(OR(D619="",E619="",F619=""),"",MOD(D619,12)&lt;&gt;0,"",MOD(D619,12)=0,"Year End"&amp;" "&amp;D619/12)</f>
        <v/>
      </c>
      <c r="V619">
        <v>608</v>
      </c>
    </row>
    <row r="620" spans="4:22">
      <c r="D620" s="30" t="str">
        <f>IF(V620&lt;=calcs!$F$4,'Loan Calculator'!V620,"")</f>
        <v/>
      </c>
      <c r="E620" s="27" t="str" cm="1">
        <f t="array" ref="E620">_xlfn.IFS(F620="","",G619&lt;F619,G619*calcs!$H$3,$D$8&lt;=0,$M$3-F620,$D$8&gt;0,$M$3-F620+$D$8,G619&lt;F619,G620*calcs!$H$3)</f>
        <v/>
      </c>
      <c r="F620" s="27" t="str" cm="1">
        <f t="array" ref="F620">_xlfn.IFS(F619="","",G619=0,"",G619&lt;1,"",G619&lt;F619,G619,AND(G619&gt;0,$D$8&gt;0),$D$8+($M$3-(G619*calcs!$H$3)),G619&gt;0,$M$3-(G619*calcs!$H$3))</f>
        <v/>
      </c>
      <c r="G620" s="27" t="str" cm="1">
        <f t="array" ref="G620">_xlfn.IFS(F620="","",G619-F620&lt;1,0,ISBLANK(F620)=TRUE,"",G619-F620&gt;1,G619-F620)</f>
        <v/>
      </c>
      <c r="H620" s="31" t="str">
        <f t="shared" si="10"/>
        <v/>
      </c>
      <c r="I620" s="2" t="str" cm="1">
        <f t="array" ref="I620">_xlfn.IFS(OR(D620="",E620="",F620=""),"",MOD(D620,12)&lt;&gt;0,"",MOD(D620,12)=0,"Year End"&amp;" "&amp;D620/12)</f>
        <v/>
      </c>
      <c r="V620">
        <v>609</v>
      </c>
    </row>
    <row r="621" spans="4:22">
      <c r="D621" s="32" t="str">
        <f>IF(V621&lt;=calcs!$F$4,'Loan Calculator'!V621,"")</f>
        <v/>
      </c>
      <c r="E621" s="29" t="str" cm="1">
        <f t="array" ref="E621">_xlfn.IFS(F621="","",G620&lt;F620,G620*calcs!$H$3,$D$8&lt;=0,$M$3-F621,$D$8&gt;0,$M$3-F621+$D$8,G620&lt;F620,G621*calcs!$H$3)</f>
        <v/>
      </c>
      <c r="F621" s="29" t="str" cm="1">
        <f t="array" ref="F621">_xlfn.IFS(F620="","",G620=0,"",G620&lt;1,"",G620&lt;F620,G620,AND(G620&gt;0,$D$8&gt;0),$D$8+($M$3-(G620*calcs!$H$3)),G620&gt;0,$M$3-(G620*calcs!$H$3))</f>
        <v/>
      </c>
      <c r="G621" s="29" t="str" cm="1">
        <f t="array" ref="G621">_xlfn.IFS(F621="","",G620-F621&lt;1,0,ISBLANK(F621)=TRUE,"",G620-F621&gt;1,G620-F621)</f>
        <v/>
      </c>
      <c r="H621" s="33" t="str">
        <f t="shared" si="10"/>
        <v/>
      </c>
      <c r="I621" s="2" t="str" cm="1">
        <f t="array" ref="I621">_xlfn.IFS(OR(D621="",E621="",F621=""),"",MOD(D621,12)&lt;&gt;0,"",MOD(D621,12)=0,"Year End"&amp;" "&amp;D621/12)</f>
        <v/>
      </c>
      <c r="V621">
        <v>610</v>
      </c>
    </row>
    <row r="622" spans="4:22">
      <c r="D622" s="30" t="str">
        <f>IF(V622&lt;=calcs!$F$4,'Loan Calculator'!V622,"")</f>
        <v/>
      </c>
      <c r="E622" s="27" t="str" cm="1">
        <f t="array" ref="E622">_xlfn.IFS(F622="","",G621&lt;F621,G621*calcs!$H$3,$D$8&lt;=0,$M$3-F622,$D$8&gt;0,$M$3-F622+$D$8,G621&lt;F621,G622*calcs!$H$3)</f>
        <v/>
      </c>
      <c r="F622" s="27" t="str" cm="1">
        <f t="array" ref="F622">_xlfn.IFS(F621="","",G621=0,"",G621&lt;1,"",G621&lt;F621,G621,AND(G621&gt;0,$D$8&gt;0),$D$8+($M$3-(G621*calcs!$H$3)),G621&gt;0,$M$3-(G621*calcs!$H$3))</f>
        <v/>
      </c>
      <c r="G622" s="27" t="str" cm="1">
        <f t="array" ref="G622">_xlfn.IFS(F622="","",G621-F622&lt;1,0,ISBLANK(F622)=TRUE,"",G621-F622&gt;1,G621-F622)</f>
        <v/>
      </c>
      <c r="H622" s="31" t="str">
        <f t="shared" si="10"/>
        <v/>
      </c>
      <c r="I622" s="2" t="str" cm="1">
        <f t="array" ref="I622">_xlfn.IFS(OR(D622="",E622="",F622=""),"",MOD(D622,12)&lt;&gt;0,"",MOD(D622,12)=0,"Year End"&amp;" "&amp;D622/12)</f>
        <v/>
      </c>
      <c r="V622">
        <v>611</v>
      </c>
    </row>
    <row r="623" spans="4:22">
      <c r="D623" s="32" t="str">
        <f>IF(V623&lt;=calcs!$F$4,'Loan Calculator'!V623,"")</f>
        <v/>
      </c>
      <c r="E623" s="29" t="str" cm="1">
        <f t="array" ref="E623">_xlfn.IFS(F623="","",G622&lt;F622,G622*calcs!$H$3,$D$8&lt;=0,$M$3-F623,$D$8&gt;0,$M$3-F623+$D$8,G622&lt;F622,G623*calcs!$H$3)</f>
        <v/>
      </c>
      <c r="F623" s="29" t="str" cm="1">
        <f t="array" ref="F623">_xlfn.IFS(F622="","",G622=0,"",G622&lt;1,"",G622&lt;F622,G622,AND(G622&gt;0,$D$8&gt;0),$D$8+($M$3-(G622*calcs!$H$3)),G622&gt;0,$M$3-(G622*calcs!$H$3))</f>
        <v/>
      </c>
      <c r="G623" s="29" t="str" cm="1">
        <f t="array" ref="G623">_xlfn.IFS(F623="","",G622-F623&lt;1,0,ISBLANK(F623)=TRUE,"",G622-F623&gt;1,G622-F623)</f>
        <v/>
      </c>
      <c r="H623" s="33" t="str">
        <f t="shared" si="10"/>
        <v/>
      </c>
      <c r="I623" s="2" t="str" cm="1">
        <f t="array" ref="I623">_xlfn.IFS(OR(D623="",E623="",F623=""),"",MOD(D623,12)&lt;&gt;0,"",MOD(D623,12)=0,"Year End"&amp;" "&amp;D623/12)</f>
        <v/>
      </c>
      <c r="V623">
        <v>612</v>
      </c>
    </row>
    <row r="624" spans="4:22">
      <c r="D624" s="30" t="str">
        <f>IF(V624&lt;=calcs!$F$4,'Loan Calculator'!V624,"")</f>
        <v/>
      </c>
      <c r="E624" s="27" t="str" cm="1">
        <f t="array" ref="E624">_xlfn.IFS(F624="","",G623&lt;F623,G623*calcs!$H$3,$D$8&lt;=0,$M$3-F624,$D$8&gt;0,$M$3-F624+$D$8,G623&lt;F623,G624*calcs!$H$3)</f>
        <v/>
      </c>
      <c r="F624" s="27" t="str" cm="1">
        <f t="array" ref="F624">_xlfn.IFS(F623="","",G623=0,"",G623&lt;1,"",G623&lt;F623,G623,AND(G623&gt;0,$D$8&gt;0),$D$8+($M$3-(G623*calcs!$H$3)),G623&gt;0,$M$3-(G623*calcs!$H$3))</f>
        <v/>
      </c>
      <c r="G624" s="27" t="str" cm="1">
        <f t="array" ref="G624">_xlfn.IFS(F624="","",G623-F624&lt;1,0,ISBLANK(F624)=TRUE,"",G623-F624&gt;1,G623-F624)</f>
        <v/>
      </c>
      <c r="H624" s="31" t="str">
        <f t="shared" si="10"/>
        <v/>
      </c>
      <c r="I624" s="2" t="str" cm="1">
        <f t="array" ref="I624">_xlfn.IFS(OR(D624="",E624="",F624=""),"",MOD(D624,12)&lt;&gt;0,"",MOD(D624,12)=0,"Year End"&amp;" "&amp;D624/12)</f>
        <v/>
      </c>
      <c r="V624">
        <v>613</v>
      </c>
    </row>
    <row r="625" spans="4:22">
      <c r="D625" s="32" t="str">
        <f>IF(V625&lt;=calcs!$F$4,'Loan Calculator'!V625,"")</f>
        <v/>
      </c>
      <c r="E625" s="29" t="str" cm="1">
        <f t="array" ref="E625">_xlfn.IFS(F625="","",G624&lt;F624,G624*calcs!$H$3,$D$8&lt;=0,$M$3-F625,$D$8&gt;0,$M$3-F625+$D$8,G624&lt;F624,G625*calcs!$H$3)</f>
        <v/>
      </c>
      <c r="F625" s="29" t="str" cm="1">
        <f t="array" ref="F625">_xlfn.IFS(F624="","",G624=0,"",G624&lt;1,"",G624&lt;F624,G624,AND(G624&gt;0,$D$8&gt;0),$D$8+($M$3-(G624*calcs!$H$3)),G624&gt;0,$M$3-(G624*calcs!$H$3))</f>
        <v/>
      </c>
      <c r="G625" s="29" t="str" cm="1">
        <f t="array" ref="G625">_xlfn.IFS(F625="","",G624-F625&lt;1,0,ISBLANK(F625)=TRUE,"",G624-F625&gt;1,G624-F625)</f>
        <v/>
      </c>
      <c r="H625" s="33" t="str">
        <f t="shared" si="10"/>
        <v/>
      </c>
      <c r="I625" s="2" t="str" cm="1">
        <f t="array" ref="I625">_xlfn.IFS(OR(D625="",E625="",F625=""),"",MOD(D625,12)&lt;&gt;0,"",MOD(D625,12)=0,"Year End"&amp;" "&amp;D625/12)</f>
        <v/>
      </c>
      <c r="V625">
        <v>614</v>
      </c>
    </row>
    <row r="626" spans="4:22">
      <c r="D626" s="30" t="str">
        <f>IF(V626&lt;=calcs!$F$4,'Loan Calculator'!V626,"")</f>
        <v/>
      </c>
      <c r="E626" s="27" t="str" cm="1">
        <f t="array" ref="E626">_xlfn.IFS(F626="","",G625&lt;F625,G625*calcs!$H$3,$D$8&lt;=0,$M$3-F626,$D$8&gt;0,$M$3-F626+$D$8,G625&lt;F625,G626*calcs!$H$3)</f>
        <v/>
      </c>
      <c r="F626" s="27" t="str" cm="1">
        <f t="array" ref="F626">_xlfn.IFS(F625="","",G625=0,"",G625&lt;1,"",G625&lt;F625,G625,AND(G625&gt;0,$D$8&gt;0),$D$8+($M$3-(G625*calcs!$H$3)),G625&gt;0,$M$3-(G625*calcs!$H$3))</f>
        <v/>
      </c>
      <c r="G626" s="27" t="str" cm="1">
        <f t="array" ref="G626">_xlfn.IFS(F626="","",G625-F626&lt;1,0,ISBLANK(F626)=TRUE,"",G625-F626&gt;1,G625-F626)</f>
        <v/>
      </c>
      <c r="H626" s="31" t="str">
        <f t="shared" si="10"/>
        <v/>
      </c>
      <c r="I626" s="2" t="str" cm="1">
        <f t="array" ref="I626">_xlfn.IFS(OR(D626="",E626="",F626=""),"",MOD(D626,12)&lt;&gt;0,"",MOD(D626,12)=0,"Year End"&amp;" "&amp;D626/12)</f>
        <v/>
      </c>
      <c r="V626">
        <v>615</v>
      </c>
    </row>
    <row r="627" spans="4:22">
      <c r="D627" s="32" t="str">
        <f>IF(V627&lt;=calcs!$F$4,'Loan Calculator'!V627,"")</f>
        <v/>
      </c>
      <c r="E627" s="29" t="str" cm="1">
        <f t="array" ref="E627">_xlfn.IFS(F627="","",G626&lt;F626,G626*calcs!$H$3,$D$8&lt;=0,$M$3-F627,$D$8&gt;0,$M$3-F627+$D$8,G626&lt;F626,G627*calcs!$H$3)</f>
        <v/>
      </c>
      <c r="F627" s="29" t="str" cm="1">
        <f t="array" ref="F627">_xlfn.IFS(F626="","",G626=0,"",G626&lt;1,"",G626&lt;F626,G626,AND(G626&gt;0,$D$8&gt;0),$D$8+($M$3-(G626*calcs!$H$3)),G626&gt;0,$M$3-(G626*calcs!$H$3))</f>
        <v/>
      </c>
      <c r="G627" s="29" t="str" cm="1">
        <f t="array" ref="G627">_xlfn.IFS(F627="","",G626-F627&lt;1,0,ISBLANK(F627)=TRUE,"",G626-F627&gt;1,G626-F627)</f>
        <v/>
      </c>
      <c r="H627" s="33" t="str">
        <f t="shared" si="10"/>
        <v/>
      </c>
      <c r="I627" s="2" t="str" cm="1">
        <f t="array" ref="I627">_xlfn.IFS(OR(D627="",E627="",F627=""),"",MOD(D627,12)&lt;&gt;0,"",MOD(D627,12)=0,"Year End"&amp;" "&amp;D627/12)</f>
        <v/>
      </c>
      <c r="V627">
        <v>616</v>
      </c>
    </row>
    <row r="628" spans="4:22">
      <c r="D628" s="30" t="str">
        <f>IF(V628&lt;=calcs!$F$4,'Loan Calculator'!V628,"")</f>
        <v/>
      </c>
      <c r="E628" s="27" t="str" cm="1">
        <f t="array" ref="E628">_xlfn.IFS(F628="","",G627&lt;F627,G627*calcs!$H$3,$D$8&lt;=0,$M$3-F628,$D$8&gt;0,$M$3-F628+$D$8,G627&lt;F627,G628*calcs!$H$3)</f>
        <v/>
      </c>
      <c r="F628" s="27" t="str" cm="1">
        <f t="array" ref="F628">_xlfn.IFS(F627="","",G627=0,"",G627&lt;1,"",G627&lt;F627,G627,AND(G627&gt;0,$D$8&gt;0),$D$8+($M$3-(G627*calcs!$H$3)),G627&gt;0,$M$3-(G627*calcs!$H$3))</f>
        <v/>
      </c>
      <c r="G628" s="27" t="str" cm="1">
        <f t="array" ref="G628">_xlfn.IFS(F628="","",G627-F628&lt;1,0,ISBLANK(F628)=TRUE,"",G627-F628&gt;1,G627-F628)</f>
        <v/>
      </c>
      <c r="H628" s="31" t="str">
        <f t="shared" si="10"/>
        <v/>
      </c>
      <c r="I628" s="2" t="str" cm="1">
        <f t="array" ref="I628">_xlfn.IFS(OR(D628="",E628="",F628=""),"",MOD(D628,12)&lt;&gt;0,"",MOD(D628,12)=0,"Year End"&amp;" "&amp;D628/12)</f>
        <v/>
      </c>
      <c r="V628">
        <v>617</v>
      </c>
    </row>
    <row r="629" spans="4:22">
      <c r="D629" s="32" t="str">
        <f>IF(V629&lt;=calcs!$F$4,'Loan Calculator'!V629,"")</f>
        <v/>
      </c>
      <c r="E629" s="29" t="str" cm="1">
        <f t="array" ref="E629">_xlfn.IFS(F629="","",G628&lt;F628,G628*calcs!$H$3,$D$8&lt;=0,$M$3-F629,$D$8&gt;0,$M$3-F629+$D$8,G628&lt;F628,G629*calcs!$H$3)</f>
        <v/>
      </c>
      <c r="F629" s="29" t="str" cm="1">
        <f t="array" ref="F629">_xlfn.IFS(F628="","",G628=0,"",G628&lt;1,"",G628&lt;F628,G628,AND(G628&gt;0,$D$8&gt;0),$D$8+($M$3-(G628*calcs!$H$3)),G628&gt;0,$M$3-(G628*calcs!$H$3))</f>
        <v/>
      </c>
      <c r="G629" s="29" t="str" cm="1">
        <f t="array" ref="G629">_xlfn.IFS(F629="","",G628-F629&lt;1,0,ISBLANK(F629)=TRUE,"",G628-F629&gt;1,G628-F629)</f>
        <v/>
      </c>
      <c r="H629" s="33" t="str">
        <f t="shared" si="10"/>
        <v/>
      </c>
      <c r="I629" s="2" t="str" cm="1">
        <f t="array" ref="I629">_xlfn.IFS(OR(D629="",E629="",F629=""),"",MOD(D629,12)&lt;&gt;0,"",MOD(D629,12)=0,"Year End"&amp;" "&amp;D629/12)</f>
        <v/>
      </c>
      <c r="V629">
        <v>618</v>
      </c>
    </row>
    <row r="630" spans="4:22">
      <c r="D630" s="30" t="str">
        <f>IF(V630&lt;=calcs!$F$4,'Loan Calculator'!V630,"")</f>
        <v/>
      </c>
      <c r="E630" s="27" t="str" cm="1">
        <f t="array" ref="E630">_xlfn.IFS(F630="","",G629&lt;F629,G629*calcs!$H$3,$D$8&lt;=0,$M$3-F630,$D$8&gt;0,$M$3-F630+$D$8,G629&lt;F629,G630*calcs!$H$3)</f>
        <v/>
      </c>
      <c r="F630" s="27" t="str" cm="1">
        <f t="array" ref="F630">_xlfn.IFS(F629="","",G629=0,"",G629&lt;1,"",G629&lt;F629,G629,AND(G629&gt;0,$D$8&gt;0),$D$8+($M$3-(G629*calcs!$H$3)),G629&gt;0,$M$3-(G629*calcs!$H$3))</f>
        <v/>
      </c>
      <c r="G630" s="27" t="str" cm="1">
        <f t="array" ref="G630">_xlfn.IFS(F630="","",G629-F630&lt;1,0,ISBLANK(F630)=TRUE,"",G629-F630&gt;1,G629-F630)</f>
        <v/>
      </c>
      <c r="H630" s="31" t="str">
        <f t="shared" si="10"/>
        <v/>
      </c>
      <c r="I630" s="2" t="str" cm="1">
        <f t="array" ref="I630">_xlfn.IFS(OR(D630="",E630="",F630=""),"",MOD(D630,12)&lt;&gt;0,"",MOD(D630,12)=0,"Year End"&amp;" "&amp;D630/12)</f>
        <v/>
      </c>
      <c r="V630">
        <v>619</v>
      </c>
    </row>
    <row r="631" spans="4:22">
      <c r="D631" s="32" t="str">
        <f>IF(V631&lt;=calcs!$F$4,'Loan Calculator'!V631,"")</f>
        <v/>
      </c>
      <c r="E631" s="29" t="str" cm="1">
        <f t="array" ref="E631">_xlfn.IFS(F631="","",G630&lt;F630,G630*calcs!$H$3,$D$8&lt;=0,$M$3-F631,$D$8&gt;0,$M$3-F631+$D$8,G630&lt;F630,G631*calcs!$H$3)</f>
        <v/>
      </c>
      <c r="F631" s="29" t="str" cm="1">
        <f t="array" ref="F631">_xlfn.IFS(F630="","",G630=0,"",G630&lt;1,"",G630&lt;F630,G630,AND(G630&gt;0,$D$8&gt;0),$D$8+($M$3-(G630*calcs!$H$3)),G630&gt;0,$M$3-(G630*calcs!$H$3))</f>
        <v/>
      </c>
      <c r="G631" s="29" t="str" cm="1">
        <f t="array" ref="G631">_xlfn.IFS(F631="","",G630-F631&lt;1,0,ISBLANK(F631)=TRUE,"",G630-F631&gt;1,G630-F631)</f>
        <v/>
      </c>
      <c r="H631" s="33" t="str">
        <f t="shared" si="10"/>
        <v/>
      </c>
      <c r="I631" s="2" t="str" cm="1">
        <f t="array" ref="I631">_xlfn.IFS(OR(D631="",E631="",F631=""),"",MOD(D631,12)&lt;&gt;0,"",MOD(D631,12)=0,"Year End"&amp;" "&amp;D631/12)</f>
        <v/>
      </c>
      <c r="V631">
        <v>620</v>
      </c>
    </row>
    <row r="632" spans="4:22">
      <c r="D632" s="30" t="str">
        <f>IF(V632&lt;=calcs!$F$4,'Loan Calculator'!V632,"")</f>
        <v/>
      </c>
      <c r="E632" s="27" t="str" cm="1">
        <f t="array" ref="E632">_xlfn.IFS(F632="","",G631&lt;F631,G631*calcs!$H$3,$D$8&lt;=0,$M$3-F632,$D$8&gt;0,$M$3-F632+$D$8,G631&lt;F631,G632*calcs!$H$3)</f>
        <v/>
      </c>
      <c r="F632" s="27" t="str" cm="1">
        <f t="array" ref="F632">_xlfn.IFS(F631="","",G631=0,"",G631&lt;1,"",G631&lt;F631,G631,AND(G631&gt;0,$D$8&gt;0),$D$8+($M$3-(G631*calcs!$H$3)),G631&gt;0,$M$3-(G631*calcs!$H$3))</f>
        <v/>
      </c>
      <c r="G632" s="27" t="str" cm="1">
        <f t="array" ref="G632">_xlfn.IFS(F632="","",G631-F632&lt;1,0,ISBLANK(F632)=TRUE,"",G631-F632&gt;1,G631-F632)</f>
        <v/>
      </c>
      <c r="H632" s="31" t="str">
        <f t="shared" si="10"/>
        <v/>
      </c>
      <c r="I632" s="2" t="str" cm="1">
        <f t="array" ref="I632">_xlfn.IFS(OR(D632="",E632="",F632=""),"",MOD(D632,12)&lt;&gt;0,"",MOD(D632,12)=0,"Year End"&amp;" "&amp;D632/12)</f>
        <v/>
      </c>
      <c r="V632">
        <v>621</v>
      </c>
    </row>
    <row r="633" spans="4:22">
      <c r="D633" s="32" t="str">
        <f>IF(V633&lt;=calcs!$F$4,'Loan Calculator'!V633,"")</f>
        <v/>
      </c>
      <c r="E633" s="29" t="str" cm="1">
        <f t="array" ref="E633">_xlfn.IFS(F633="","",G632&lt;F632,G632*calcs!$H$3,$D$8&lt;=0,$M$3-F633,$D$8&gt;0,$M$3-F633+$D$8,G632&lt;F632,G633*calcs!$H$3)</f>
        <v/>
      </c>
      <c r="F633" s="29" t="str" cm="1">
        <f t="array" ref="F633">_xlfn.IFS(F632="","",G632=0,"",G632&lt;1,"",G632&lt;F632,G632,AND(G632&gt;0,$D$8&gt;0),$D$8+($M$3-(G632*calcs!$H$3)),G632&gt;0,$M$3-(G632*calcs!$H$3))</f>
        <v/>
      </c>
      <c r="G633" s="29" t="str" cm="1">
        <f t="array" ref="G633">_xlfn.IFS(F633="","",G632-F633&lt;1,0,ISBLANK(F633)=TRUE,"",G632-F633&gt;1,G632-F633)</f>
        <v/>
      </c>
      <c r="H633" s="33" t="str">
        <f t="shared" si="10"/>
        <v/>
      </c>
      <c r="I633" s="2" t="str" cm="1">
        <f t="array" ref="I633">_xlfn.IFS(OR(D633="",E633="",F633=""),"",MOD(D633,12)&lt;&gt;0,"",MOD(D633,12)=0,"Year End"&amp;" "&amp;D633/12)</f>
        <v/>
      </c>
      <c r="V633">
        <v>622</v>
      </c>
    </row>
    <row r="634" spans="4:22">
      <c r="D634" s="30" t="str">
        <f>IF(V634&lt;=calcs!$F$4,'Loan Calculator'!V634,"")</f>
        <v/>
      </c>
      <c r="E634" s="27" t="str" cm="1">
        <f t="array" ref="E634">_xlfn.IFS(F634="","",G633&lt;F633,G633*calcs!$H$3,$D$8&lt;=0,$M$3-F634,$D$8&gt;0,$M$3-F634+$D$8,G633&lt;F633,G634*calcs!$H$3)</f>
        <v/>
      </c>
      <c r="F634" s="27" t="str" cm="1">
        <f t="array" ref="F634">_xlfn.IFS(F633="","",G633=0,"",G633&lt;1,"",G633&lt;F633,G633,AND(G633&gt;0,$D$8&gt;0),$D$8+($M$3-(G633*calcs!$H$3)),G633&gt;0,$M$3-(G633*calcs!$H$3))</f>
        <v/>
      </c>
      <c r="G634" s="27" t="str" cm="1">
        <f t="array" ref="G634">_xlfn.IFS(F634="","",G633-F634&lt;1,0,ISBLANK(F634)=TRUE,"",G633-F634&gt;1,G633-F634)</f>
        <v/>
      </c>
      <c r="H634" s="31" t="str">
        <f t="shared" si="10"/>
        <v/>
      </c>
      <c r="I634" s="2" t="str" cm="1">
        <f t="array" ref="I634">_xlfn.IFS(OR(D634="",E634="",F634=""),"",MOD(D634,12)&lt;&gt;0,"",MOD(D634,12)=0,"Year End"&amp;" "&amp;D634/12)</f>
        <v/>
      </c>
      <c r="V634">
        <v>623</v>
      </c>
    </row>
    <row r="635" spans="4:22">
      <c r="D635" s="32" t="str">
        <f>IF(V635&lt;=calcs!$F$4,'Loan Calculator'!V635,"")</f>
        <v/>
      </c>
      <c r="E635" s="29" t="str" cm="1">
        <f t="array" ref="E635">_xlfn.IFS(F635="","",G634&lt;F634,G634*calcs!$H$3,$D$8&lt;=0,$M$3-F635,$D$8&gt;0,$M$3-F635+$D$8,G634&lt;F634,G635*calcs!$H$3)</f>
        <v/>
      </c>
      <c r="F635" s="29" t="str" cm="1">
        <f t="array" ref="F635">_xlfn.IFS(F634="","",G634=0,"",G634&lt;1,"",G634&lt;F634,G634,AND(G634&gt;0,$D$8&gt;0),$D$8+($M$3-(G634*calcs!$H$3)),G634&gt;0,$M$3-(G634*calcs!$H$3))</f>
        <v/>
      </c>
      <c r="G635" s="29" t="str" cm="1">
        <f t="array" ref="G635">_xlfn.IFS(F635="","",G634-F635&lt;1,0,ISBLANK(F635)=TRUE,"",G634-F635&gt;1,G634-F635)</f>
        <v/>
      </c>
      <c r="H635" s="33" t="str">
        <f t="shared" si="10"/>
        <v/>
      </c>
      <c r="I635" s="2" t="str" cm="1">
        <f t="array" ref="I635">_xlfn.IFS(OR(D635="",E635="",F635=""),"",MOD(D635,12)&lt;&gt;0,"",MOD(D635,12)=0,"Year End"&amp;" "&amp;D635/12)</f>
        <v/>
      </c>
      <c r="V635">
        <v>624</v>
      </c>
    </row>
    <row r="636" spans="4:22">
      <c r="D636" s="30" t="str">
        <f>IF(V636&lt;=calcs!$F$4,'Loan Calculator'!V636,"")</f>
        <v/>
      </c>
      <c r="E636" s="27" t="str" cm="1">
        <f t="array" ref="E636">_xlfn.IFS(F636="","",G635&lt;F635,G635*calcs!$H$3,$D$8&lt;=0,$M$3-F636,$D$8&gt;0,$M$3-F636+$D$8,G635&lt;F635,G636*calcs!$H$3)</f>
        <v/>
      </c>
      <c r="F636" s="27" t="str" cm="1">
        <f t="array" ref="F636">_xlfn.IFS(F635="","",G635=0,"",G635&lt;1,"",G635&lt;F635,G635,AND(G635&gt;0,$D$8&gt;0),$D$8+($M$3-(G635*calcs!$H$3)),G635&gt;0,$M$3-(G635*calcs!$H$3))</f>
        <v/>
      </c>
      <c r="G636" s="27" t="str" cm="1">
        <f t="array" ref="G636">_xlfn.IFS(F636="","",G635-F636&lt;1,0,ISBLANK(F636)=TRUE,"",G635-F636&gt;1,G635-F636)</f>
        <v/>
      </c>
      <c r="H636" s="31" t="str">
        <f t="shared" si="10"/>
        <v/>
      </c>
      <c r="I636" s="2" t="str" cm="1">
        <f t="array" ref="I636">_xlfn.IFS(OR(D636="",E636="",F636=""),"",MOD(D636,12)&lt;&gt;0,"",MOD(D636,12)=0,"Year End"&amp;" "&amp;D636/12)</f>
        <v/>
      </c>
      <c r="V636">
        <v>625</v>
      </c>
    </row>
    <row r="637" spans="4:22">
      <c r="D637" s="32" t="str">
        <f>IF(V637&lt;=calcs!$F$4,'Loan Calculator'!V637,"")</f>
        <v/>
      </c>
      <c r="E637" s="29" t="str" cm="1">
        <f t="array" ref="E637">_xlfn.IFS(F637="","",G636&lt;F636,G636*calcs!$H$3,$D$8&lt;=0,$M$3-F637,$D$8&gt;0,$M$3-F637+$D$8,G636&lt;F636,G637*calcs!$H$3)</f>
        <v/>
      </c>
      <c r="F637" s="29" t="str" cm="1">
        <f t="array" ref="F637">_xlfn.IFS(F636="","",G636=0,"",G636&lt;1,"",G636&lt;F636,G636,AND(G636&gt;0,$D$8&gt;0),$D$8+($M$3-(G636*calcs!$H$3)),G636&gt;0,$M$3-(G636*calcs!$H$3))</f>
        <v/>
      </c>
      <c r="G637" s="29" t="str" cm="1">
        <f t="array" ref="G637">_xlfn.IFS(F637="","",G636-F637&lt;1,0,ISBLANK(F637)=TRUE,"",G636-F637&gt;1,G636-F637)</f>
        <v/>
      </c>
      <c r="H637" s="33" t="str">
        <f t="shared" si="10"/>
        <v/>
      </c>
      <c r="I637" s="2" t="str" cm="1">
        <f t="array" ref="I637">_xlfn.IFS(OR(D637="",E637="",F637=""),"",MOD(D637,12)&lt;&gt;0,"",MOD(D637,12)=0,"Year End"&amp;" "&amp;D637/12)</f>
        <v/>
      </c>
      <c r="V637">
        <v>626</v>
      </c>
    </row>
    <row r="638" spans="4:22">
      <c r="D638" s="30" t="str">
        <f>IF(V638&lt;=calcs!$F$4,'Loan Calculator'!V638,"")</f>
        <v/>
      </c>
      <c r="E638" s="27" t="str" cm="1">
        <f t="array" ref="E638">_xlfn.IFS(F638="","",G637&lt;F637,G637*calcs!$H$3,$D$8&lt;=0,$M$3-F638,$D$8&gt;0,$M$3-F638+$D$8,G637&lt;F637,G638*calcs!$H$3)</f>
        <v/>
      </c>
      <c r="F638" s="27" t="str" cm="1">
        <f t="array" ref="F638">_xlfn.IFS(F637="","",G637=0,"",G637&lt;1,"",G637&lt;F637,G637,AND(G637&gt;0,$D$8&gt;0),$D$8+($M$3-(G637*calcs!$H$3)),G637&gt;0,$M$3-(G637*calcs!$H$3))</f>
        <v/>
      </c>
      <c r="G638" s="27" t="str" cm="1">
        <f t="array" ref="G638">_xlfn.IFS(F638="","",G637-F638&lt;1,0,ISBLANK(F638)=TRUE,"",G637-F638&gt;1,G637-F638)</f>
        <v/>
      </c>
      <c r="H638" s="31" t="str">
        <f t="shared" si="10"/>
        <v/>
      </c>
      <c r="I638" s="2" t="str" cm="1">
        <f t="array" ref="I638">_xlfn.IFS(OR(D638="",E638="",F638=""),"",MOD(D638,12)&lt;&gt;0,"",MOD(D638,12)=0,"Year End"&amp;" "&amp;D638/12)</f>
        <v/>
      </c>
      <c r="V638">
        <v>627</v>
      </c>
    </row>
    <row r="639" spans="4:22">
      <c r="D639" s="32" t="str">
        <f>IF(V639&lt;=calcs!$F$4,'Loan Calculator'!V639,"")</f>
        <v/>
      </c>
      <c r="E639" s="29" t="str" cm="1">
        <f t="array" ref="E639">_xlfn.IFS(F639="","",G638&lt;F638,G638*calcs!$H$3,$D$8&lt;=0,$M$3-F639,$D$8&gt;0,$M$3-F639+$D$8,G638&lt;F638,G639*calcs!$H$3)</f>
        <v/>
      </c>
      <c r="F639" s="29" t="str" cm="1">
        <f t="array" ref="F639">_xlfn.IFS(F638="","",G638=0,"",G638&lt;1,"",G638&lt;F638,G638,AND(G638&gt;0,$D$8&gt;0),$D$8+($M$3-(G638*calcs!$H$3)),G638&gt;0,$M$3-(G638*calcs!$H$3))</f>
        <v/>
      </c>
      <c r="G639" s="29" t="str" cm="1">
        <f t="array" ref="G639">_xlfn.IFS(F639="","",G638-F639&lt;1,0,ISBLANK(F639)=TRUE,"",G638-F639&gt;1,G638-F639)</f>
        <v/>
      </c>
      <c r="H639" s="33" t="str">
        <f t="shared" si="10"/>
        <v/>
      </c>
      <c r="I639" s="2" t="str" cm="1">
        <f t="array" ref="I639">_xlfn.IFS(OR(D639="",E639="",F639=""),"",MOD(D639,12)&lt;&gt;0,"",MOD(D639,12)=0,"Year End"&amp;" "&amp;D639/12)</f>
        <v/>
      </c>
      <c r="V639">
        <v>628</v>
      </c>
    </row>
    <row r="640" spans="4:22">
      <c r="D640" s="30" t="str">
        <f>IF(V640&lt;=calcs!$F$4,'Loan Calculator'!V640,"")</f>
        <v/>
      </c>
      <c r="E640" s="27" t="str" cm="1">
        <f t="array" ref="E640">_xlfn.IFS(F640="","",G639&lt;F639,G639*calcs!$H$3,$D$8&lt;=0,$M$3-F640,$D$8&gt;0,$M$3-F640+$D$8,G639&lt;F639,G640*calcs!$H$3)</f>
        <v/>
      </c>
      <c r="F640" s="27" t="str" cm="1">
        <f t="array" ref="F640">_xlfn.IFS(F639="","",G639=0,"",G639&lt;1,"",G639&lt;F639,G639,AND(G639&gt;0,$D$8&gt;0),$D$8+($M$3-(G639*calcs!$H$3)),G639&gt;0,$M$3-(G639*calcs!$H$3))</f>
        <v/>
      </c>
      <c r="G640" s="27" t="str" cm="1">
        <f t="array" ref="G640">_xlfn.IFS(F640="","",G639-F640&lt;1,0,ISBLANK(F640)=TRUE,"",G639-F640&gt;1,G639-F640)</f>
        <v/>
      </c>
      <c r="H640" s="31" t="str">
        <f t="shared" si="10"/>
        <v/>
      </c>
      <c r="I640" s="2" t="str" cm="1">
        <f t="array" ref="I640">_xlfn.IFS(OR(D640="",E640="",F640=""),"",MOD(D640,12)&lt;&gt;0,"",MOD(D640,12)=0,"Year End"&amp;" "&amp;D640/12)</f>
        <v/>
      </c>
      <c r="V640">
        <v>629</v>
      </c>
    </row>
    <row r="641" spans="4:22">
      <c r="D641" s="32" t="str">
        <f>IF(V641&lt;=calcs!$F$4,'Loan Calculator'!V641,"")</f>
        <v/>
      </c>
      <c r="E641" s="29" t="str" cm="1">
        <f t="array" ref="E641">_xlfn.IFS(F641="","",G640&lt;F640,G640*calcs!$H$3,$D$8&lt;=0,$M$3-F641,$D$8&gt;0,$M$3-F641+$D$8,G640&lt;F640,G641*calcs!$H$3)</f>
        <v/>
      </c>
      <c r="F641" s="29" t="str" cm="1">
        <f t="array" ref="F641">_xlfn.IFS(F640="","",G640=0,"",G640&lt;1,"",G640&lt;F640,G640,AND(G640&gt;0,$D$8&gt;0),$D$8+($M$3-(G640*calcs!$H$3)),G640&gt;0,$M$3-(G640*calcs!$H$3))</f>
        <v/>
      </c>
      <c r="G641" s="29" t="str" cm="1">
        <f t="array" ref="G641">_xlfn.IFS(F641="","",G640-F641&lt;1,0,ISBLANK(F641)=TRUE,"",G640-F641&gt;1,G640-F641)</f>
        <v/>
      </c>
      <c r="H641" s="33" t="str">
        <f t="shared" si="10"/>
        <v/>
      </c>
      <c r="I641" s="2" t="str" cm="1">
        <f t="array" ref="I641">_xlfn.IFS(OR(D641="",E641="",F641=""),"",MOD(D641,12)&lt;&gt;0,"",MOD(D641,12)=0,"Year End"&amp;" "&amp;D641/12)</f>
        <v/>
      </c>
      <c r="V641">
        <v>630</v>
      </c>
    </row>
    <row r="642" spans="4:22">
      <c r="D642" s="30" t="str">
        <f>IF(V642&lt;=calcs!$F$4,'Loan Calculator'!V642,"")</f>
        <v/>
      </c>
      <c r="E642" s="27" t="str" cm="1">
        <f t="array" ref="E642">_xlfn.IFS(F642="","",G641&lt;F641,G641*calcs!$H$3,$D$8&lt;=0,$M$3-F642,$D$8&gt;0,$M$3-F642+$D$8,G641&lt;F641,G642*calcs!$H$3)</f>
        <v/>
      </c>
      <c r="F642" s="27" t="str" cm="1">
        <f t="array" ref="F642">_xlfn.IFS(F641="","",G641=0,"",G641&lt;1,"",G641&lt;F641,G641,AND(G641&gt;0,$D$8&gt;0),$D$8+($M$3-(G641*calcs!$H$3)),G641&gt;0,$M$3-(G641*calcs!$H$3))</f>
        <v/>
      </c>
      <c r="G642" s="27" t="str" cm="1">
        <f t="array" ref="G642">_xlfn.IFS(F642="","",G641-F642&lt;1,0,ISBLANK(F642)=TRUE,"",G641-F642&gt;1,G641-F642)</f>
        <v/>
      </c>
      <c r="H642" s="31" t="str">
        <f t="shared" si="10"/>
        <v/>
      </c>
      <c r="I642" s="2" t="str" cm="1">
        <f t="array" ref="I642">_xlfn.IFS(OR(D642="",E642="",F642=""),"",MOD(D642,12)&lt;&gt;0,"",MOD(D642,12)=0,"Year End"&amp;" "&amp;D642/12)</f>
        <v/>
      </c>
      <c r="V642">
        <v>631</v>
      </c>
    </row>
    <row r="643" spans="4:22">
      <c r="D643" s="32" t="str">
        <f>IF(V643&lt;=calcs!$F$4,'Loan Calculator'!V643,"")</f>
        <v/>
      </c>
      <c r="E643" s="29" t="str" cm="1">
        <f t="array" ref="E643">_xlfn.IFS(F643="","",G642&lt;F642,G642*calcs!$H$3,$D$8&lt;=0,$M$3-F643,$D$8&gt;0,$M$3-F643+$D$8,G642&lt;F642,G643*calcs!$H$3)</f>
        <v/>
      </c>
      <c r="F643" s="29" t="str" cm="1">
        <f t="array" ref="F643">_xlfn.IFS(F642="","",G642=0,"",G642&lt;1,"",G642&lt;F642,G642,AND(G642&gt;0,$D$8&gt;0),$D$8+($M$3-(G642*calcs!$H$3)),G642&gt;0,$M$3-(G642*calcs!$H$3))</f>
        <v/>
      </c>
      <c r="G643" s="29" t="str" cm="1">
        <f t="array" ref="G643">_xlfn.IFS(F643="","",G642-F643&lt;1,0,ISBLANK(F643)=TRUE,"",G642-F643&gt;1,G642-F643)</f>
        <v/>
      </c>
      <c r="H643" s="33" t="str">
        <f t="shared" si="10"/>
        <v/>
      </c>
      <c r="I643" s="2" t="str" cm="1">
        <f t="array" ref="I643">_xlfn.IFS(OR(D643="",E643="",F643=""),"",MOD(D643,12)&lt;&gt;0,"",MOD(D643,12)=0,"Year End"&amp;" "&amp;D643/12)</f>
        <v/>
      </c>
      <c r="V643">
        <v>632</v>
      </c>
    </row>
    <row r="644" spans="4:22">
      <c r="D644" s="30" t="str">
        <f>IF(V644&lt;=calcs!$F$4,'Loan Calculator'!V644,"")</f>
        <v/>
      </c>
      <c r="E644" s="27" t="str" cm="1">
        <f t="array" ref="E644">_xlfn.IFS(F644="","",G643&lt;F643,G643*calcs!$H$3,$D$8&lt;=0,$M$3-F644,$D$8&gt;0,$M$3-F644+$D$8,G643&lt;F643,G644*calcs!$H$3)</f>
        <v/>
      </c>
      <c r="F644" s="27" t="str" cm="1">
        <f t="array" ref="F644">_xlfn.IFS(F643="","",G643=0,"",G643&lt;1,"",G643&lt;F643,G643,AND(G643&gt;0,$D$8&gt;0),$D$8+($M$3-(G643*calcs!$H$3)),G643&gt;0,$M$3-(G643*calcs!$H$3))</f>
        <v/>
      </c>
      <c r="G644" s="27" t="str" cm="1">
        <f t="array" ref="G644">_xlfn.IFS(F644="","",G643-F644&lt;1,0,ISBLANK(F644)=TRUE,"",G643-F644&gt;1,G643-F644)</f>
        <v/>
      </c>
      <c r="H644" s="31" t="str">
        <f t="shared" si="10"/>
        <v/>
      </c>
      <c r="I644" s="2" t="str" cm="1">
        <f t="array" ref="I644">_xlfn.IFS(OR(D644="",E644="",F644=""),"",MOD(D644,12)&lt;&gt;0,"",MOD(D644,12)=0,"Year End"&amp;" "&amp;D644/12)</f>
        <v/>
      </c>
      <c r="V644">
        <v>633</v>
      </c>
    </row>
    <row r="645" spans="4:22">
      <c r="D645" s="32" t="str">
        <f>IF(V645&lt;=calcs!$F$4,'Loan Calculator'!V645,"")</f>
        <v/>
      </c>
      <c r="E645" s="29" t="str" cm="1">
        <f t="array" ref="E645">_xlfn.IFS(F645="","",G644&lt;F644,G644*calcs!$H$3,$D$8&lt;=0,$M$3-F645,$D$8&gt;0,$M$3-F645+$D$8,G644&lt;F644,G645*calcs!$H$3)</f>
        <v/>
      </c>
      <c r="F645" s="29" t="str" cm="1">
        <f t="array" ref="F645">_xlfn.IFS(F644="","",G644=0,"",G644&lt;1,"",G644&lt;F644,G644,AND(G644&gt;0,$D$8&gt;0),$D$8+($M$3-(G644*calcs!$H$3)),G644&gt;0,$M$3-(G644*calcs!$H$3))</f>
        <v/>
      </c>
      <c r="G645" s="29" t="str" cm="1">
        <f t="array" ref="G645">_xlfn.IFS(F645="","",G644-F645&lt;1,0,ISBLANK(F645)=TRUE,"",G644-F645&gt;1,G644-F645)</f>
        <v/>
      </c>
      <c r="H645" s="33" t="str">
        <f t="shared" si="10"/>
        <v/>
      </c>
      <c r="I645" s="2" t="str" cm="1">
        <f t="array" ref="I645">_xlfn.IFS(OR(D645="",E645="",F645=""),"",MOD(D645,12)&lt;&gt;0,"",MOD(D645,12)=0,"Year End"&amp;" "&amp;D645/12)</f>
        <v/>
      </c>
      <c r="V645">
        <v>634</v>
      </c>
    </row>
    <row r="646" spans="4:22">
      <c r="D646" s="30" t="str">
        <f>IF(V646&lt;=calcs!$F$4,'Loan Calculator'!V646,"")</f>
        <v/>
      </c>
      <c r="E646" s="27" t="str" cm="1">
        <f t="array" ref="E646">_xlfn.IFS(F646="","",G645&lt;F645,G645*calcs!$H$3,$D$8&lt;=0,$M$3-F646,$D$8&gt;0,$M$3-F646+$D$8,G645&lt;F645,G646*calcs!$H$3)</f>
        <v/>
      </c>
      <c r="F646" s="27" t="str" cm="1">
        <f t="array" ref="F646">_xlfn.IFS(F645="","",G645=0,"",G645&lt;1,"",G645&lt;F645,G645,AND(G645&gt;0,$D$8&gt;0),$D$8+($M$3-(G645*calcs!$H$3)),G645&gt;0,$M$3-(G645*calcs!$H$3))</f>
        <v/>
      </c>
      <c r="G646" s="27" t="str" cm="1">
        <f t="array" ref="G646">_xlfn.IFS(F646="","",G645-F646&lt;1,0,ISBLANK(F646)=TRUE,"",G645-F646&gt;1,G645-F646)</f>
        <v/>
      </c>
      <c r="H646" s="31" t="str">
        <f t="shared" si="10"/>
        <v/>
      </c>
      <c r="I646" s="2" t="str" cm="1">
        <f t="array" ref="I646">_xlfn.IFS(OR(D646="",E646="",F646=""),"",MOD(D646,12)&lt;&gt;0,"",MOD(D646,12)=0,"Year End"&amp;" "&amp;D646/12)</f>
        <v/>
      </c>
      <c r="V646">
        <v>635</v>
      </c>
    </row>
    <row r="647" spans="4:22">
      <c r="D647" s="32" t="str">
        <f>IF(V647&lt;=calcs!$F$4,'Loan Calculator'!V647,"")</f>
        <v/>
      </c>
      <c r="E647" s="29" t="str" cm="1">
        <f t="array" ref="E647">_xlfn.IFS(F647="","",G646&lt;F646,G646*calcs!$H$3,$D$8&lt;=0,$M$3-F647,$D$8&gt;0,$M$3-F647+$D$8,G646&lt;F646,G647*calcs!$H$3)</f>
        <v/>
      </c>
      <c r="F647" s="29" t="str" cm="1">
        <f t="array" ref="F647">_xlfn.IFS(F646="","",G646=0,"",G646&lt;1,"",G646&lt;F646,G646,AND(G646&gt;0,$D$8&gt;0),$D$8+($M$3-(G646*calcs!$H$3)),G646&gt;0,$M$3-(G646*calcs!$H$3))</f>
        <v/>
      </c>
      <c r="G647" s="29" t="str" cm="1">
        <f t="array" ref="G647">_xlfn.IFS(F647="","",G646-F647&lt;1,0,ISBLANK(F647)=TRUE,"",G646-F647&gt;1,G646-F647)</f>
        <v/>
      </c>
      <c r="H647" s="33" t="str">
        <f t="shared" si="10"/>
        <v/>
      </c>
      <c r="I647" s="2" t="str" cm="1">
        <f t="array" ref="I647">_xlfn.IFS(OR(D647="",E647="",F647=""),"",MOD(D647,12)&lt;&gt;0,"",MOD(D647,12)=0,"Year End"&amp;" "&amp;D647/12)</f>
        <v/>
      </c>
      <c r="V647">
        <v>636</v>
      </c>
    </row>
    <row r="648" spans="4:22">
      <c r="D648" s="30" t="str">
        <f>IF(V648&lt;=calcs!$F$4,'Loan Calculator'!V648,"")</f>
        <v/>
      </c>
      <c r="E648" s="27" t="str" cm="1">
        <f t="array" ref="E648">_xlfn.IFS(F648="","",G647&lt;F647,G647*calcs!$H$3,$D$8&lt;=0,$M$3-F648,$D$8&gt;0,$M$3-F648+$D$8,G647&lt;F647,G648*calcs!$H$3)</f>
        <v/>
      </c>
      <c r="F648" s="27" t="str" cm="1">
        <f t="array" ref="F648">_xlfn.IFS(F647="","",G647=0,"",G647&lt;1,"",G647&lt;F647,G647,AND(G647&gt;0,$D$8&gt;0),$D$8+($M$3-(G647*calcs!$H$3)),G647&gt;0,$M$3-(G647*calcs!$H$3))</f>
        <v/>
      </c>
      <c r="G648" s="27" t="str" cm="1">
        <f t="array" ref="G648">_xlfn.IFS(F648="","",G647-F648&lt;1,0,ISBLANK(F648)=TRUE,"",G647-F648&gt;1,G647-F648)</f>
        <v/>
      </c>
      <c r="H648" s="31" t="str">
        <f t="shared" si="10"/>
        <v/>
      </c>
      <c r="I648" s="2" t="str" cm="1">
        <f t="array" ref="I648">_xlfn.IFS(OR(D648="",E648="",F648=""),"",MOD(D648,12)&lt;&gt;0,"",MOD(D648,12)=0,"Year End"&amp;" "&amp;D648/12)</f>
        <v/>
      </c>
      <c r="V648">
        <v>637</v>
      </c>
    </row>
    <row r="649" spans="4:22">
      <c r="D649" s="32" t="str">
        <f>IF(V649&lt;=calcs!$F$4,'Loan Calculator'!V649,"")</f>
        <v/>
      </c>
      <c r="E649" s="29" t="str" cm="1">
        <f t="array" ref="E649">_xlfn.IFS(F649="","",G648&lt;F648,G648*calcs!$H$3,$D$8&lt;=0,$M$3-F649,$D$8&gt;0,$M$3-F649+$D$8,G648&lt;F648,G649*calcs!$H$3)</f>
        <v/>
      </c>
      <c r="F649" s="29" t="str" cm="1">
        <f t="array" ref="F649">_xlfn.IFS(F648="","",G648=0,"",G648&lt;1,"",G648&lt;F648,G648,AND(G648&gt;0,$D$8&gt;0),$D$8+($M$3-(G648*calcs!$H$3)),G648&gt;0,$M$3-(G648*calcs!$H$3))</f>
        <v/>
      </c>
      <c r="G649" s="29" t="str" cm="1">
        <f t="array" ref="G649">_xlfn.IFS(F649="","",G648-F649&lt;1,0,ISBLANK(F649)=TRUE,"",G648-F649&gt;1,G648-F649)</f>
        <v/>
      </c>
      <c r="H649" s="33" t="str">
        <f t="shared" si="10"/>
        <v/>
      </c>
      <c r="I649" s="2" t="str" cm="1">
        <f t="array" ref="I649">_xlfn.IFS(OR(D649="",E649="",F649=""),"",MOD(D649,12)&lt;&gt;0,"",MOD(D649,12)=0,"Year End"&amp;" "&amp;D649/12)</f>
        <v/>
      </c>
      <c r="V649">
        <v>638</v>
      </c>
    </row>
    <row r="650" spans="4:22">
      <c r="D650" s="30" t="str">
        <f>IF(V650&lt;=calcs!$F$4,'Loan Calculator'!V650,"")</f>
        <v/>
      </c>
      <c r="E650" s="27" t="str" cm="1">
        <f t="array" ref="E650">_xlfn.IFS(F650="","",G649&lt;F649,G649*calcs!$H$3,$D$8&lt;=0,$M$3-F650,$D$8&gt;0,$M$3-F650+$D$8,G649&lt;F649,G650*calcs!$H$3)</f>
        <v/>
      </c>
      <c r="F650" s="27" t="str" cm="1">
        <f t="array" ref="F650">_xlfn.IFS(F649="","",G649=0,"",G649&lt;1,"",G649&lt;F649,G649,AND(G649&gt;0,$D$8&gt;0),$D$8+($M$3-(G649*calcs!$H$3)),G649&gt;0,$M$3-(G649*calcs!$H$3))</f>
        <v/>
      </c>
      <c r="G650" s="27" t="str" cm="1">
        <f t="array" ref="G650">_xlfn.IFS(F650="","",G649-F650&lt;1,0,ISBLANK(F650)=TRUE,"",G649-F650&gt;1,G649-F650)</f>
        <v/>
      </c>
      <c r="H650" s="31" t="str">
        <f t="shared" si="10"/>
        <v/>
      </c>
      <c r="I650" s="2" t="str" cm="1">
        <f t="array" ref="I650">_xlfn.IFS(OR(D650="",E650="",F650=""),"",MOD(D650,12)&lt;&gt;0,"",MOD(D650,12)=0,"Year End"&amp;" "&amp;D650/12)</f>
        <v/>
      </c>
      <c r="V650">
        <v>639</v>
      </c>
    </row>
    <row r="651" spans="4:22">
      <c r="D651" s="32" t="str">
        <f>IF(V651&lt;=calcs!$F$4,'Loan Calculator'!V651,"")</f>
        <v/>
      </c>
      <c r="E651" s="29" t="str" cm="1">
        <f t="array" ref="E651">_xlfn.IFS(F651="","",G650&lt;F650,G650*calcs!$H$3,$D$8&lt;=0,$M$3-F651,$D$8&gt;0,$M$3-F651+$D$8,G650&lt;F650,G651*calcs!$H$3)</f>
        <v/>
      </c>
      <c r="F651" s="29" t="str" cm="1">
        <f t="array" ref="F651">_xlfn.IFS(F650="","",G650=0,"",G650&lt;1,"",G650&lt;F650,G650,AND(G650&gt;0,$D$8&gt;0),$D$8+($M$3-(G650*calcs!$H$3)),G650&gt;0,$M$3-(G650*calcs!$H$3))</f>
        <v/>
      </c>
      <c r="G651" s="29" t="str" cm="1">
        <f t="array" ref="G651">_xlfn.IFS(F651="","",G650-F651&lt;1,0,ISBLANK(F651)=TRUE,"",G650-F651&gt;1,G650-F651)</f>
        <v/>
      </c>
      <c r="H651" s="33" t="str">
        <f t="shared" si="10"/>
        <v/>
      </c>
      <c r="I651" s="2" t="str" cm="1">
        <f t="array" ref="I651">_xlfn.IFS(OR(D651="",E651="",F651=""),"",MOD(D651,12)&lt;&gt;0,"",MOD(D651,12)=0,"Year End"&amp;" "&amp;D651/12)</f>
        <v/>
      </c>
      <c r="V651">
        <v>640</v>
      </c>
    </row>
    <row r="652" spans="4:22">
      <c r="D652" s="30" t="str">
        <f>IF(V652&lt;=calcs!$F$4,'Loan Calculator'!V652,"")</f>
        <v/>
      </c>
      <c r="E652" s="27" t="str" cm="1">
        <f t="array" ref="E652">_xlfn.IFS(F652="","",G651&lt;F651,G651*calcs!$H$3,$D$8&lt;=0,$M$3-F652,$D$8&gt;0,$M$3-F652+$D$8,G651&lt;F651,G652*calcs!$H$3)</f>
        <v/>
      </c>
      <c r="F652" s="27" t="str" cm="1">
        <f t="array" ref="F652">_xlfn.IFS(F651="","",G651=0,"",G651&lt;1,"",G651&lt;F651,G651,AND(G651&gt;0,$D$8&gt;0),$D$8+($M$3-(G651*calcs!$H$3)),G651&gt;0,$M$3-(G651*calcs!$H$3))</f>
        <v/>
      </c>
      <c r="G652" s="27" t="str" cm="1">
        <f t="array" ref="G652">_xlfn.IFS(F652="","",G651-F652&lt;1,0,ISBLANK(F652)=TRUE,"",G651-F652&gt;1,G651-F652)</f>
        <v/>
      </c>
      <c r="H652" s="31" t="str">
        <f t="shared" si="10"/>
        <v/>
      </c>
      <c r="I652" s="2" t="str" cm="1">
        <f t="array" ref="I652">_xlfn.IFS(OR(D652="",E652="",F652=""),"",MOD(D652,12)&lt;&gt;0,"",MOD(D652,12)=0,"Year End"&amp;" "&amp;D652/12)</f>
        <v/>
      </c>
      <c r="V652">
        <v>641</v>
      </c>
    </row>
    <row r="653" spans="4:22">
      <c r="D653" s="32" t="str">
        <f>IF(V653&lt;=calcs!$F$4,'Loan Calculator'!V653,"")</f>
        <v/>
      </c>
      <c r="E653" s="29" t="str" cm="1">
        <f t="array" ref="E653">_xlfn.IFS(F653="","",G652&lt;F652,G652*calcs!$H$3,$D$8&lt;=0,$M$3-F653,$D$8&gt;0,$M$3-F653+$D$8,G652&lt;F652,G653*calcs!$H$3)</f>
        <v/>
      </c>
      <c r="F653" s="29" t="str" cm="1">
        <f t="array" ref="F653">_xlfn.IFS(F652="","",G652=0,"",G652&lt;1,"",G652&lt;F652,G652,AND(G652&gt;0,$D$8&gt;0),$D$8+($M$3-(G652*calcs!$H$3)),G652&gt;0,$M$3-(G652*calcs!$H$3))</f>
        <v/>
      </c>
      <c r="G653" s="29" t="str" cm="1">
        <f t="array" ref="G653">_xlfn.IFS(F653="","",G652-F653&lt;1,0,ISBLANK(F653)=TRUE,"",G652-F653&gt;1,G652-F653)</f>
        <v/>
      </c>
      <c r="H653" s="33" t="str">
        <f t="shared" si="10"/>
        <v/>
      </c>
      <c r="I653" s="2" t="str" cm="1">
        <f t="array" ref="I653">_xlfn.IFS(OR(D653="",E653="",F653=""),"",MOD(D653,12)&lt;&gt;0,"",MOD(D653,12)=0,"Year End"&amp;" "&amp;D653/12)</f>
        <v/>
      </c>
      <c r="V653">
        <v>642</v>
      </c>
    </row>
    <row r="654" spans="4:22">
      <c r="D654" s="30" t="str">
        <f>IF(V654&lt;=calcs!$F$4,'Loan Calculator'!V654,"")</f>
        <v/>
      </c>
      <c r="E654" s="27" t="str" cm="1">
        <f t="array" ref="E654">_xlfn.IFS(F654="","",G653&lt;F653,G653*calcs!$H$3,$D$8&lt;=0,$M$3-F654,$D$8&gt;0,$M$3-F654+$D$8,G653&lt;F653,G654*calcs!$H$3)</f>
        <v/>
      </c>
      <c r="F654" s="27" t="str" cm="1">
        <f t="array" ref="F654">_xlfn.IFS(F653="","",G653=0,"",G653&lt;1,"",G653&lt;F653,G653,AND(G653&gt;0,$D$8&gt;0),$D$8+($M$3-(G653*calcs!$H$3)),G653&gt;0,$M$3-(G653*calcs!$H$3))</f>
        <v/>
      </c>
      <c r="G654" s="27" t="str" cm="1">
        <f t="array" ref="G654">_xlfn.IFS(F654="","",G653-F654&lt;1,0,ISBLANK(F654)=TRUE,"",G653-F654&gt;1,G653-F654)</f>
        <v/>
      </c>
      <c r="H654" s="31" t="str">
        <f t="shared" ref="H654:H717" si="11">IF(OR(H653=0,H653="",E654="",F654=""),"",H653+E654+F654)</f>
        <v/>
      </c>
      <c r="I654" s="2" t="str" cm="1">
        <f t="array" ref="I654">_xlfn.IFS(OR(D654="",E654="",F654=""),"",MOD(D654,12)&lt;&gt;0,"",MOD(D654,12)=0,"Year End"&amp;" "&amp;D654/12)</f>
        <v/>
      </c>
      <c r="V654">
        <v>643</v>
      </c>
    </row>
    <row r="655" spans="4:22">
      <c r="D655" s="32" t="str">
        <f>IF(V655&lt;=calcs!$F$4,'Loan Calculator'!V655,"")</f>
        <v/>
      </c>
      <c r="E655" s="29" t="str" cm="1">
        <f t="array" ref="E655">_xlfn.IFS(F655="","",G654&lt;F654,G654*calcs!$H$3,$D$8&lt;=0,$M$3-F655,$D$8&gt;0,$M$3-F655+$D$8,G654&lt;F654,G655*calcs!$H$3)</f>
        <v/>
      </c>
      <c r="F655" s="29" t="str" cm="1">
        <f t="array" ref="F655">_xlfn.IFS(F654="","",G654=0,"",G654&lt;1,"",G654&lt;F654,G654,AND(G654&gt;0,$D$8&gt;0),$D$8+($M$3-(G654*calcs!$H$3)),G654&gt;0,$M$3-(G654*calcs!$H$3))</f>
        <v/>
      </c>
      <c r="G655" s="29" t="str" cm="1">
        <f t="array" ref="G655">_xlfn.IFS(F655="","",G654-F655&lt;1,0,ISBLANK(F655)=TRUE,"",G654-F655&gt;1,G654-F655)</f>
        <v/>
      </c>
      <c r="H655" s="33" t="str">
        <f t="shared" si="11"/>
        <v/>
      </c>
      <c r="I655" s="2" t="str" cm="1">
        <f t="array" ref="I655">_xlfn.IFS(OR(D655="",E655="",F655=""),"",MOD(D655,12)&lt;&gt;0,"",MOD(D655,12)=0,"Year End"&amp;" "&amp;D655/12)</f>
        <v/>
      </c>
      <c r="V655">
        <v>644</v>
      </c>
    </row>
    <row r="656" spans="4:22">
      <c r="D656" s="30" t="str">
        <f>IF(V656&lt;=calcs!$F$4,'Loan Calculator'!V656,"")</f>
        <v/>
      </c>
      <c r="E656" s="27" t="str" cm="1">
        <f t="array" ref="E656">_xlfn.IFS(F656="","",G655&lt;F655,G655*calcs!$H$3,$D$8&lt;=0,$M$3-F656,$D$8&gt;0,$M$3-F656+$D$8,G655&lt;F655,G656*calcs!$H$3)</f>
        <v/>
      </c>
      <c r="F656" s="27" t="str" cm="1">
        <f t="array" ref="F656">_xlfn.IFS(F655="","",G655=0,"",G655&lt;1,"",G655&lt;F655,G655,AND(G655&gt;0,$D$8&gt;0),$D$8+($M$3-(G655*calcs!$H$3)),G655&gt;0,$M$3-(G655*calcs!$H$3))</f>
        <v/>
      </c>
      <c r="G656" s="27" t="str" cm="1">
        <f t="array" ref="G656">_xlfn.IFS(F656="","",G655-F656&lt;1,0,ISBLANK(F656)=TRUE,"",G655-F656&gt;1,G655-F656)</f>
        <v/>
      </c>
      <c r="H656" s="31" t="str">
        <f t="shared" si="11"/>
        <v/>
      </c>
      <c r="I656" s="2" t="str" cm="1">
        <f t="array" ref="I656">_xlfn.IFS(OR(D656="",E656="",F656=""),"",MOD(D656,12)&lt;&gt;0,"",MOD(D656,12)=0,"Year End"&amp;" "&amp;D656/12)</f>
        <v/>
      </c>
      <c r="V656">
        <v>645</v>
      </c>
    </row>
    <row r="657" spans="4:22">
      <c r="D657" s="32" t="str">
        <f>IF(V657&lt;=calcs!$F$4,'Loan Calculator'!V657,"")</f>
        <v/>
      </c>
      <c r="E657" s="29" t="str" cm="1">
        <f t="array" ref="E657">_xlfn.IFS(F657="","",G656&lt;F656,G656*calcs!$H$3,$D$8&lt;=0,$M$3-F657,$D$8&gt;0,$M$3-F657+$D$8,G656&lt;F656,G657*calcs!$H$3)</f>
        <v/>
      </c>
      <c r="F657" s="29" t="str" cm="1">
        <f t="array" ref="F657">_xlfn.IFS(F656="","",G656=0,"",G656&lt;1,"",G656&lt;F656,G656,AND(G656&gt;0,$D$8&gt;0),$D$8+($M$3-(G656*calcs!$H$3)),G656&gt;0,$M$3-(G656*calcs!$H$3))</f>
        <v/>
      </c>
      <c r="G657" s="29" t="str" cm="1">
        <f t="array" ref="G657">_xlfn.IFS(F657="","",G656-F657&lt;1,0,ISBLANK(F657)=TRUE,"",G656-F657&gt;1,G656-F657)</f>
        <v/>
      </c>
      <c r="H657" s="33" t="str">
        <f t="shared" si="11"/>
        <v/>
      </c>
      <c r="I657" s="2" t="str" cm="1">
        <f t="array" ref="I657">_xlfn.IFS(OR(D657="",E657="",F657=""),"",MOD(D657,12)&lt;&gt;0,"",MOD(D657,12)=0,"Year End"&amp;" "&amp;D657/12)</f>
        <v/>
      </c>
      <c r="V657">
        <v>646</v>
      </c>
    </row>
    <row r="658" spans="4:22">
      <c r="D658" s="30" t="str">
        <f>IF(V658&lt;=calcs!$F$4,'Loan Calculator'!V658,"")</f>
        <v/>
      </c>
      <c r="E658" s="27" t="str" cm="1">
        <f t="array" ref="E658">_xlfn.IFS(F658="","",G657&lt;F657,G657*calcs!$H$3,$D$8&lt;=0,$M$3-F658,$D$8&gt;0,$M$3-F658+$D$8,G657&lt;F657,G658*calcs!$H$3)</f>
        <v/>
      </c>
      <c r="F658" s="27" t="str" cm="1">
        <f t="array" ref="F658">_xlfn.IFS(F657="","",G657=0,"",G657&lt;1,"",G657&lt;F657,G657,AND(G657&gt;0,$D$8&gt;0),$D$8+($M$3-(G657*calcs!$H$3)),G657&gt;0,$M$3-(G657*calcs!$H$3))</f>
        <v/>
      </c>
      <c r="G658" s="27" t="str" cm="1">
        <f t="array" ref="G658">_xlfn.IFS(F658="","",G657-F658&lt;1,0,ISBLANK(F658)=TRUE,"",G657-F658&gt;1,G657-F658)</f>
        <v/>
      </c>
      <c r="H658" s="31" t="str">
        <f t="shared" si="11"/>
        <v/>
      </c>
      <c r="I658" s="2" t="str" cm="1">
        <f t="array" ref="I658">_xlfn.IFS(OR(D658="",E658="",F658=""),"",MOD(D658,12)&lt;&gt;0,"",MOD(D658,12)=0,"Year End"&amp;" "&amp;D658/12)</f>
        <v/>
      </c>
      <c r="V658">
        <v>647</v>
      </c>
    </row>
    <row r="659" spans="4:22">
      <c r="D659" s="32" t="str">
        <f>IF(V659&lt;=calcs!$F$4,'Loan Calculator'!V659,"")</f>
        <v/>
      </c>
      <c r="E659" s="29" t="str" cm="1">
        <f t="array" ref="E659">_xlfn.IFS(F659="","",G658&lt;F658,G658*calcs!$H$3,$D$8&lt;=0,$M$3-F659,$D$8&gt;0,$M$3-F659+$D$8,G658&lt;F658,G659*calcs!$H$3)</f>
        <v/>
      </c>
      <c r="F659" s="29" t="str" cm="1">
        <f t="array" ref="F659">_xlfn.IFS(F658="","",G658=0,"",G658&lt;1,"",G658&lt;F658,G658,AND(G658&gt;0,$D$8&gt;0),$D$8+($M$3-(G658*calcs!$H$3)),G658&gt;0,$M$3-(G658*calcs!$H$3))</f>
        <v/>
      </c>
      <c r="G659" s="29" t="str" cm="1">
        <f t="array" ref="G659">_xlfn.IFS(F659="","",G658-F659&lt;1,0,ISBLANK(F659)=TRUE,"",G658-F659&gt;1,G658-F659)</f>
        <v/>
      </c>
      <c r="H659" s="33" t="str">
        <f t="shared" si="11"/>
        <v/>
      </c>
      <c r="I659" s="2" t="str" cm="1">
        <f t="array" ref="I659">_xlfn.IFS(OR(D659="",E659="",F659=""),"",MOD(D659,12)&lt;&gt;0,"",MOD(D659,12)=0,"Year End"&amp;" "&amp;D659/12)</f>
        <v/>
      </c>
      <c r="V659">
        <v>648</v>
      </c>
    </row>
    <row r="660" spans="4:22">
      <c r="D660" s="30" t="str">
        <f>IF(V660&lt;=calcs!$F$4,'Loan Calculator'!V660,"")</f>
        <v/>
      </c>
      <c r="E660" s="27" t="str" cm="1">
        <f t="array" ref="E660">_xlfn.IFS(F660="","",G659&lt;F659,G659*calcs!$H$3,$D$8&lt;=0,$M$3-F660,$D$8&gt;0,$M$3-F660+$D$8,G659&lt;F659,G660*calcs!$H$3)</f>
        <v/>
      </c>
      <c r="F660" s="27" t="str" cm="1">
        <f t="array" ref="F660">_xlfn.IFS(F659="","",G659=0,"",G659&lt;1,"",G659&lt;F659,G659,AND(G659&gt;0,$D$8&gt;0),$D$8+($M$3-(G659*calcs!$H$3)),G659&gt;0,$M$3-(G659*calcs!$H$3))</f>
        <v/>
      </c>
      <c r="G660" s="27" t="str" cm="1">
        <f t="array" ref="G660">_xlfn.IFS(F660="","",G659-F660&lt;1,0,ISBLANK(F660)=TRUE,"",G659-F660&gt;1,G659-F660)</f>
        <v/>
      </c>
      <c r="H660" s="31" t="str">
        <f t="shared" si="11"/>
        <v/>
      </c>
      <c r="I660" s="2" t="str" cm="1">
        <f t="array" ref="I660">_xlfn.IFS(OR(D660="",E660="",F660=""),"",MOD(D660,12)&lt;&gt;0,"",MOD(D660,12)=0,"Year End"&amp;" "&amp;D660/12)</f>
        <v/>
      </c>
      <c r="V660">
        <v>649</v>
      </c>
    </row>
    <row r="661" spans="4:22">
      <c r="D661" s="32" t="str">
        <f>IF(V661&lt;=calcs!$F$4,'Loan Calculator'!V661,"")</f>
        <v/>
      </c>
      <c r="E661" s="29" t="str" cm="1">
        <f t="array" ref="E661">_xlfn.IFS(F661="","",G660&lt;F660,G660*calcs!$H$3,$D$8&lt;=0,$M$3-F661,$D$8&gt;0,$M$3-F661+$D$8,G660&lt;F660,G661*calcs!$H$3)</f>
        <v/>
      </c>
      <c r="F661" s="29" t="str" cm="1">
        <f t="array" ref="F661">_xlfn.IFS(F660="","",G660=0,"",G660&lt;1,"",G660&lt;F660,G660,AND(G660&gt;0,$D$8&gt;0),$D$8+($M$3-(G660*calcs!$H$3)),G660&gt;0,$M$3-(G660*calcs!$H$3))</f>
        <v/>
      </c>
      <c r="G661" s="29" t="str" cm="1">
        <f t="array" ref="G661">_xlfn.IFS(F661="","",G660-F661&lt;1,0,ISBLANK(F661)=TRUE,"",G660-F661&gt;1,G660-F661)</f>
        <v/>
      </c>
      <c r="H661" s="33" t="str">
        <f t="shared" si="11"/>
        <v/>
      </c>
      <c r="I661" s="2" t="str" cm="1">
        <f t="array" ref="I661">_xlfn.IFS(OR(D661="",E661="",F661=""),"",MOD(D661,12)&lt;&gt;0,"",MOD(D661,12)=0,"Year End"&amp;" "&amp;D661/12)</f>
        <v/>
      </c>
      <c r="V661">
        <v>650</v>
      </c>
    </row>
    <row r="662" spans="4:22">
      <c r="D662" s="30" t="str">
        <f>IF(V662&lt;=calcs!$F$4,'Loan Calculator'!V662,"")</f>
        <v/>
      </c>
      <c r="E662" s="27" t="str" cm="1">
        <f t="array" ref="E662">_xlfn.IFS(F662="","",G661&lt;F661,G661*calcs!$H$3,$D$8&lt;=0,$M$3-F662,$D$8&gt;0,$M$3-F662+$D$8,G661&lt;F661,G662*calcs!$H$3)</f>
        <v/>
      </c>
      <c r="F662" s="27" t="str" cm="1">
        <f t="array" ref="F662">_xlfn.IFS(F661="","",G661=0,"",G661&lt;1,"",G661&lt;F661,G661,AND(G661&gt;0,$D$8&gt;0),$D$8+($M$3-(G661*calcs!$H$3)),G661&gt;0,$M$3-(G661*calcs!$H$3))</f>
        <v/>
      </c>
      <c r="G662" s="27" t="str" cm="1">
        <f t="array" ref="G662">_xlfn.IFS(F662="","",G661-F662&lt;1,0,ISBLANK(F662)=TRUE,"",G661-F662&gt;1,G661-F662)</f>
        <v/>
      </c>
      <c r="H662" s="31" t="str">
        <f t="shared" si="11"/>
        <v/>
      </c>
      <c r="I662" s="2" t="str" cm="1">
        <f t="array" ref="I662">_xlfn.IFS(OR(D662="",E662="",F662=""),"",MOD(D662,12)&lt;&gt;0,"",MOD(D662,12)=0,"Year End"&amp;" "&amp;D662/12)</f>
        <v/>
      </c>
      <c r="V662">
        <v>651</v>
      </c>
    </row>
    <row r="663" spans="4:22">
      <c r="D663" s="32" t="str">
        <f>IF(V663&lt;=calcs!$F$4,'Loan Calculator'!V663,"")</f>
        <v/>
      </c>
      <c r="E663" s="29" t="str" cm="1">
        <f t="array" ref="E663">_xlfn.IFS(F663="","",G662&lt;F662,G662*calcs!$H$3,$D$8&lt;=0,$M$3-F663,$D$8&gt;0,$M$3-F663+$D$8,G662&lt;F662,G663*calcs!$H$3)</f>
        <v/>
      </c>
      <c r="F663" s="29" t="str" cm="1">
        <f t="array" ref="F663">_xlfn.IFS(F662="","",G662=0,"",G662&lt;1,"",G662&lt;F662,G662,AND(G662&gt;0,$D$8&gt;0),$D$8+($M$3-(G662*calcs!$H$3)),G662&gt;0,$M$3-(G662*calcs!$H$3))</f>
        <v/>
      </c>
      <c r="G663" s="29" t="str" cm="1">
        <f t="array" ref="G663">_xlfn.IFS(F663="","",G662-F663&lt;1,0,ISBLANK(F663)=TRUE,"",G662-F663&gt;1,G662-F663)</f>
        <v/>
      </c>
      <c r="H663" s="33" t="str">
        <f t="shared" si="11"/>
        <v/>
      </c>
      <c r="I663" s="2" t="str" cm="1">
        <f t="array" ref="I663">_xlfn.IFS(OR(D663="",E663="",F663=""),"",MOD(D663,12)&lt;&gt;0,"",MOD(D663,12)=0,"Year End"&amp;" "&amp;D663/12)</f>
        <v/>
      </c>
      <c r="V663">
        <v>652</v>
      </c>
    </row>
    <row r="664" spans="4:22">
      <c r="D664" s="30" t="str">
        <f>IF(V664&lt;=calcs!$F$4,'Loan Calculator'!V664,"")</f>
        <v/>
      </c>
      <c r="E664" s="27" t="str" cm="1">
        <f t="array" ref="E664">_xlfn.IFS(F664="","",G663&lt;F663,G663*calcs!$H$3,$D$8&lt;=0,$M$3-F664,$D$8&gt;0,$M$3-F664+$D$8,G663&lt;F663,G664*calcs!$H$3)</f>
        <v/>
      </c>
      <c r="F664" s="27" t="str" cm="1">
        <f t="array" ref="F664">_xlfn.IFS(F663="","",G663=0,"",G663&lt;1,"",G663&lt;F663,G663,AND(G663&gt;0,$D$8&gt;0),$D$8+($M$3-(G663*calcs!$H$3)),G663&gt;0,$M$3-(G663*calcs!$H$3))</f>
        <v/>
      </c>
      <c r="G664" s="27" t="str" cm="1">
        <f t="array" ref="G664">_xlfn.IFS(F664="","",G663-F664&lt;1,0,ISBLANK(F664)=TRUE,"",G663-F664&gt;1,G663-F664)</f>
        <v/>
      </c>
      <c r="H664" s="31" t="str">
        <f t="shared" si="11"/>
        <v/>
      </c>
      <c r="I664" s="2" t="str" cm="1">
        <f t="array" ref="I664">_xlfn.IFS(OR(D664="",E664="",F664=""),"",MOD(D664,12)&lt;&gt;0,"",MOD(D664,12)=0,"Year End"&amp;" "&amp;D664/12)</f>
        <v/>
      </c>
      <c r="V664">
        <v>653</v>
      </c>
    </row>
    <row r="665" spans="4:22">
      <c r="D665" s="32" t="str">
        <f>IF(V665&lt;=calcs!$F$4,'Loan Calculator'!V665,"")</f>
        <v/>
      </c>
      <c r="E665" s="29" t="str" cm="1">
        <f t="array" ref="E665">_xlfn.IFS(F665="","",G664&lt;F664,G664*calcs!$H$3,$D$8&lt;=0,$M$3-F665,$D$8&gt;0,$M$3-F665+$D$8,G664&lt;F664,G665*calcs!$H$3)</f>
        <v/>
      </c>
      <c r="F665" s="29" t="str" cm="1">
        <f t="array" ref="F665">_xlfn.IFS(F664="","",G664=0,"",G664&lt;1,"",G664&lt;F664,G664,AND(G664&gt;0,$D$8&gt;0),$D$8+($M$3-(G664*calcs!$H$3)),G664&gt;0,$M$3-(G664*calcs!$H$3))</f>
        <v/>
      </c>
      <c r="G665" s="29" t="str" cm="1">
        <f t="array" ref="G665">_xlfn.IFS(F665="","",G664-F665&lt;1,0,ISBLANK(F665)=TRUE,"",G664-F665&gt;1,G664-F665)</f>
        <v/>
      </c>
      <c r="H665" s="33" t="str">
        <f t="shared" si="11"/>
        <v/>
      </c>
      <c r="I665" s="2" t="str" cm="1">
        <f t="array" ref="I665">_xlfn.IFS(OR(D665="",E665="",F665=""),"",MOD(D665,12)&lt;&gt;0,"",MOD(D665,12)=0,"Year End"&amp;" "&amp;D665/12)</f>
        <v/>
      </c>
      <c r="V665">
        <v>654</v>
      </c>
    </row>
    <row r="666" spans="4:22">
      <c r="D666" s="30" t="str">
        <f>IF(V666&lt;=calcs!$F$4,'Loan Calculator'!V666,"")</f>
        <v/>
      </c>
      <c r="E666" s="27" t="str" cm="1">
        <f t="array" ref="E666">_xlfn.IFS(F666="","",G665&lt;F665,G665*calcs!$H$3,$D$8&lt;=0,$M$3-F666,$D$8&gt;0,$M$3-F666+$D$8,G665&lt;F665,G666*calcs!$H$3)</f>
        <v/>
      </c>
      <c r="F666" s="27" t="str" cm="1">
        <f t="array" ref="F666">_xlfn.IFS(F665="","",G665=0,"",G665&lt;1,"",G665&lt;F665,G665,AND(G665&gt;0,$D$8&gt;0),$D$8+($M$3-(G665*calcs!$H$3)),G665&gt;0,$M$3-(G665*calcs!$H$3))</f>
        <v/>
      </c>
      <c r="G666" s="27" t="str" cm="1">
        <f t="array" ref="G666">_xlfn.IFS(F666="","",G665-F666&lt;1,0,ISBLANK(F666)=TRUE,"",G665-F666&gt;1,G665-F666)</f>
        <v/>
      </c>
      <c r="H666" s="31" t="str">
        <f t="shared" si="11"/>
        <v/>
      </c>
      <c r="I666" s="2" t="str" cm="1">
        <f t="array" ref="I666">_xlfn.IFS(OR(D666="",E666="",F666=""),"",MOD(D666,12)&lt;&gt;0,"",MOD(D666,12)=0,"Year End"&amp;" "&amp;D666/12)</f>
        <v/>
      </c>
      <c r="V666">
        <v>655</v>
      </c>
    </row>
    <row r="667" spans="4:22">
      <c r="D667" s="32" t="str">
        <f>IF(V667&lt;=calcs!$F$4,'Loan Calculator'!V667,"")</f>
        <v/>
      </c>
      <c r="E667" s="29" t="str" cm="1">
        <f t="array" ref="E667">_xlfn.IFS(F667="","",G666&lt;F666,G666*calcs!$H$3,$D$8&lt;=0,$M$3-F667,$D$8&gt;0,$M$3-F667+$D$8,G666&lt;F666,G667*calcs!$H$3)</f>
        <v/>
      </c>
      <c r="F667" s="29" t="str" cm="1">
        <f t="array" ref="F667">_xlfn.IFS(F666="","",G666=0,"",G666&lt;1,"",G666&lt;F666,G666,AND(G666&gt;0,$D$8&gt;0),$D$8+($M$3-(G666*calcs!$H$3)),G666&gt;0,$M$3-(G666*calcs!$H$3))</f>
        <v/>
      </c>
      <c r="G667" s="29" t="str" cm="1">
        <f t="array" ref="G667">_xlfn.IFS(F667="","",G666-F667&lt;1,0,ISBLANK(F667)=TRUE,"",G666-F667&gt;1,G666-F667)</f>
        <v/>
      </c>
      <c r="H667" s="33" t="str">
        <f t="shared" si="11"/>
        <v/>
      </c>
      <c r="I667" s="2" t="str" cm="1">
        <f t="array" ref="I667">_xlfn.IFS(OR(D667="",E667="",F667=""),"",MOD(D667,12)&lt;&gt;0,"",MOD(D667,12)=0,"Year End"&amp;" "&amp;D667/12)</f>
        <v/>
      </c>
      <c r="V667">
        <v>656</v>
      </c>
    </row>
    <row r="668" spans="4:22">
      <c r="D668" s="30" t="str">
        <f>IF(V668&lt;=calcs!$F$4,'Loan Calculator'!V668,"")</f>
        <v/>
      </c>
      <c r="E668" s="27" t="str" cm="1">
        <f t="array" ref="E668">_xlfn.IFS(F668="","",G667&lt;F667,G667*calcs!$H$3,$D$8&lt;=0,$M$3-F668,$D$8&gt;0,$M$3-F668+$D$8,G667&lt;F667,G668*calcs!$H$3)</f>
        <v/>
      </c>
      <c r="F668" s="27" t="str" cm="1">
        <f t="array" ref="F668">_xlfn.IFS(F667="","",G667=0,"",G667&lt;1,"",G667&lt;F667,G667,AND(G667&gt;0,$D$8&gt;0),$D$8+($M$3-(G667*calcs!$H$3)),G667&gt;0,$M$3-(G667*calcs!$H$3))</f>
        <v/>
      </c>
      <c r="G668" s="27" t="str" cm="1">
        <f t="array" ref="G668">_xlfn.IFS(F668="","",G667-F668&lt;1,0,ISBLANK(F668)=TRUE,"",G667-F668&gt;1,G667-F668)</f>
        <v/>
      </c>
      <c r="H668" s="31" t="str">
        <f t="shared" si="11"/>
        <v/>
      </c>
      <c r="I668" s="2" t="str" cm="1">
        <f t="array" ref="I668">_xlfn.IFS(OR(D668="",E668="",F668=""),"",MOD(D668,12)&lt;&gt;0,"",MOD(D668,12)=0,"Year End"&amp;" "&amp;D668/12)</f>
        <v/>
      </c>
      <c r="V668">
        <v>657</v>
      </c>
    </row>
    <row r="669" spans="4:22">
      <c r="D669" s="32" t="str">
        <f>IF(V669&lt;=calcs!$F$4,'Loan Calculator'!V669,"")</f>
        <v/>
      </c>
      <c r="E669" s="29" t="str" cm="1">
        <f t="array" ref="E669">_xlfn.IFS(F669="","",G668&lt;F668,G668*calcs!$H$3,$D$8&lt;=0,$M$3-F669,$D$8&gt;0,$M$3-F669+$D$8,G668&lt;F668,G669*calcs!$H$3)</f>
        <v/>
      </c>
      <c r="F669" s="29" t="str" cm="1">
        <f t="array" ref="F669">_xlfn.IFS(F668="","",G668=0,"",G668&lt;1,"",G668&lt;F668,G668,AND(G668&gt;0,$D$8&gt;0),$D$8+($M$3-(G668*calcs!$H$3)),G668&gt;0,$M$3-(G668*calcs!$H$3))</f>
        <v/>
      </c>
      <c r="G669" s="29" t="str" cm="1">
        <f t="array" ref="G669">_xlfn.IFS(F669="","",G668-F669&lt;1,0,ISBLANK(F669)=TRUE,"",G668-F669&gt;1,G668-F669)</f>
        <v/>
      </c>
      <c r="H669" s="33" t="str">
        <f t="shared" si="11"/>
        <v/>
      </c>
      <c r="I669" s="2" t="str" cm="1">
        <f t="array" ref="I669">_xlfn.IFS(OR(D669="",E669="",F669=""),"",MOD(D669,12)&lt;&gt;0,"",MOD(D669,12)=0,"Year End"&amp;" "&amp;D669/12)</f>
        <v/>
      </c>
      <c r="V669">
        <v>658</v>
      </c>
    </row>
    <row r="670" spans="4:22">
      <c r="D670" s="30" t="str">
        <f>IF(V670&lt;=calcs!$F$4,'Loan Calculator'!V670,"")</f>
        <v/>
      </c>
      <c r="E670" s="27" t="str" cm="1">
        <f t="array" ref="E670">_xlfn.IFS(F670="","",G669&lt;F669,G669*calcs!$H$3,$D$8&lt;=0,$M$3-F670,$D$8&gt;0,$M$3-F670+$D$8,G669&lt;F669,G670*calcs!$H$3)</f>
        <v/>
      </c>
      <c r="F670" s="27" t="str" cm="1">
        <f t="array" ref="F670">_xlfn.IFS(F669="","",G669=0,"",G669&lt;1,"",G669&lt;F669,G669,AND(G669&gt;0,$D$8&gt;0),$D$8+($M$3-(G669*calcs!$H$3)),G669&gt;0,$M$3-(G669*calcs!$H$3))</f>
        <v/>
      </c>
      <c r="G670" s="27" t="str" cm="1">
        <f t="array" ref="G670">_xlfn.IFS(F670="","",G669-F670&lt;1,0,ISBLANK(F670)=TRUE,"",G669-F670&gt;1,G669-F670)</f>
        <v/>
      </c>
      <c r="H670" s="31" t="str">
        <f t="shared" si="11"/>
        <v/>
      </c>
      <c r="I670" s="2" t="str" cm="1">
        <f t="array" ref="I670">_xlfn.IFS(OR(D670="",E670="",F670=""),"",MOD(D670,12)&lt;&gt;0,"",MOD(D670,12)=0,"Year End"&amp;" "&amp;D670/12)</f>
        <v/>
      </c>
      <c r="V670">
        <v>659</v>
      </c>
    </row>
    <row r="671" spans="4:22">
      <c r="D671" s="32" t="str">
        <f>IF(V671&lt;=calcs!$F$4,'Loan Calculator'!V671,"")</f>
        <v/>
      </c>
      <c r="E671" s="29" t="str" cm="1">
        <f t="array" ref="E671">_xlfn.IFS(F671="","",G670&lt;F670,G670*calcs!$H$3,$D$8&lt;=0,$M$3-F671,$D$8&gt;0,$M$3-F671+$D$8,G670&lt;F670,G671*calcs!$H$3)</f>
        <v/>
      </c>
      <c r="F671" s="29" t="str" cm="1">
        <f t="array" ref="F671">_xlfn.IFS(F670="","",G670=0,"",G670&lt;1,"",G670&lt;F670,G670,AND(G670&gt;0,$D$8&gt;0),$D$8+($M$3-(G670*calcs!$H$3)),G670&gt;0,$M$3-(G670*calcs!$H$3))</f>
        <v/>
      </c>
      <c r="G671" s="29" t="str" cm="1">
        <f t="array" ref="G671">_xlfn.IFS(F671="","",G670-F671&lt;1,0,ISBLANK(F671)=TRUE,"",G670-F671&gt;1,G670-F671)</f>
        <v/>
      </c>
      <c r="H671" s="33" t="str">
        <f t="shared" si="11"/>
        <v/>
      </c>
      <c r="I671" s="2" t="str" cm="1">
        <f t="array" ref="I671">_xlfn.IFS(OR(D671="",E671="",F671=""),"",MOD(D671,12)&lt;&gt;0,"",MOD(D671,12)=0,"Year End"&amp;" "&amp;D671/12)</f>
        <v/>
      </c>
      <c r="V671">
        <v>660</v>
      </c>
    </row>
    <row r="672" spans="4:22">
      <c r="D672" s="30" t="str">
        <f>IF(V672&lt;=calcs!$F$4,'Loan Calculator'!V672,"")</f>
        <v/>
      </c>
      <c r="E672" s="27" t="str" cm="1">
        <f t="array" ref="E672">_xlfn.IFS(F672="","",G671&lt;F671,G671*calcs!$H$3,$D$8&lt;=0,$M$3-F672,$D$8&gt;0,$M$3-F672+$D$8,G671&lt;F671,G672*calcs!$H$3)</f>
        <v/>
      </c>
      <c r="F672" s="27" t="str" cm="1">
        <f t="array" ref="F672">_xlfn.IFS(F671="","",G671=0,"",G671&lt;1,"",G671&lt;F671,G671,AND(G671&gt;0,$D$8&gt;0),$D$8+($M$3-(G671*calcs!$H$3)),G671&gt;0,$M$3-(G671*calcs!$H$3))</f>
        <v/>
      </c>
      <c r="G672" s="27" t="str" cm="1">
        <f t="array" ref="G672">_xlfn.IFS(F672="","",G671-F672&lt;1,0,ISBLANK(F672)=TRUE,"",G671-F672&gt;1,G671-F672)</f>
        <v/>
      </c>
      <c r="H672" s="31" t="str">
        <f t="shared" si="11"/>
        <v/>
      </c>
      <c r="I672" s="2" t="str" cm="1">
        <f t="array" ref="I672">_xlfn.IFS(OR(D672="",E672="",F672=""),"",MOD(D672,12)&lt;&gt;0,"",MOD(D672,12)=0,"Year End"&amp;" "&amp;D672/12)</f>
        <v/>
      </c>
      <c r="V672">
        <v>661</v>
      </c>
    </row>
    <row r="673" spans="4:22">
      <c r="D673" s="32" t="str">
        <f>IF(V673&lt;=calcs!$F$4,'Loan Calculator'!V673,"")</f>
        <v/>
      </c>
      <c r="E673" s="29" t="str" cm="1">
        <f t="array" ref="E673">_xlfn.IFS(F673="","",G672&lt;F672,G672*calcs!$H$3,$D$8&lt;=0,$M$3-F673,$D$8&gt;0,$M$3-F673+$D$8,G672&lt;F672,G673*calcs!$H$3)</f>
        <v/>
      </c>
      <c r="F673" s="29" t="str" cm="1">
        <f t="array" ref="F673">_xlfn.IFS(F672="","",G672=0,"",G672&lt;1,"",G672&lt;F672,G672,AND(G672&gt;0,$D$8&gt;0),$D$8+($M$3-(G672*calcs!$H$3)),G672&gt;0,$M$3-(G672*calcs!$H$3))</f>
        <v/>
      </c>
      <c r="G673" s="29" t="str" cm="1">
        <f t="array" ref="G673">_xlfn.IFS(F673="","",G672-F673&lt;1,0,ISBLANK(F673)=TRUE,"",G672-F673&gt;1,G672-F673)</f>
        <v/>
      </c>
      <c r="H673" s="33" t="str">
        <f t="shared" si="11"/>
        <v/>
      </c>
      <c r="I673" s="2" t="str" cm="1">
        <f t="array" ref="I673">_xlfn.IFS(OR(D673="",E673="",F673=""),"",MOD(D673,12)&lt;&gt;0,"",MOD(D673,12)=0,"Year End"&amp;" "&amp;D673/12)</f>
        <v/>
      </c>
      <c r="V673">
        <v>662</v>
      </c>
    </row>
    <row r="674" spans="4:22">
      <c r="D674" s="30" t="str">
        <f>IF(V674&lt;=calcs!$F$4,'Loan Calculator'!V674,"")</f>
        <v/>
      </c>
      <c r="E674" s="27" t="str" cm="1">
        <f t="array" ref="E674">_xlfn.IFS(F674="","",G673&lt;F673,G673*calcs!$H$3,$D$8&lt;=0,$M$3-F674,$D$8&gt;0,$M$3-F674+$D$8,G673&lt;F673,G674*calcs!$H$3)</f>
        <v/>
      </c>
      <c r="F674" s="27" t="str" cm="1">
        <f t="array" ref="F674">_xlfn.IFS(F673="","",G673=0,"",G673&lt;1,"",G673&lt;F673,G673,AND(G673&gt;0,$D$8&gt;0),$D$8+($M$3-(G673*calcs!$H$3)),G673&gt;0,$M$3-(G673*calcs!$H$3))</f>
        <v/>
      </c>
      <c r="G674" s="27" t="str" cm="1">
        <f t="array" ref="G674">_xlfn.IFS(F674="","",G673-F674&lt;1,0,ISBLANK(F674)=TRUE,"",G673-F674&gt;1,G673-F674)</f>
        <v/>
      </c>
      <c r="H674" s="31" t="str">
        <f t="shared" si="11"/>
        <v/>
      </c>
      <c r="I674" s="2" t="str" cm="1">
        <f t="array" ref="I674">_xlfn.IFS(OR(D674="",E674="",F674=""),"",MOD(D674,12)&lt;&gt;0,"",MOD(D674,12)=0,"Year End"&amp;" "&amp;D674/12)</f>
        <v/>
      </c>
      <c r="V674">
        <v>663</v>
      </c>
    </row>
    <row r="675" spans="4:22">
      <c r="D675" s="32" t="str">
        <f>IF(V675&lt;=calcs!$F$4,'Loan Calculator'!V675,"")</f>
        <v/>
      </c>
      <c r="E675" s="29" t="str" cm="1">
        <f t="array" ref="E675">_xlfn.IFS(F675="","",G674&lt;F674,G674*calcs!$H$3,$D$8&lt;=0,$M$3-F675,$D$8&gt;0,$M$3-F675+$D$8,G674&lt;F674,G675*calcs!$H$3)</f>
        <v/>
      </c>
      <c r="F675" s="29" t="str" cm="1">
        <f t="array" ref="F675">_xlfn.IFS(F674="","",G674=0,"",G674&lt;1,"",G674&lt;F674,G674,AND(G674&gt;0,$D$8&gt;0),$D$8+($M$3-(G674*calcs!$H$3)),G674&gt;0,$M$3-(G674*calcs!$H$3))</f>
        <v/>
      </c>
      <c r="G675" s="29" t="str" cm="1">
        <f t="array" ref="G675">_xlfn.IFS(F675="","",G674-F675&lt;1,0,ISBLANK(F675)=TRUE,"",G674-F675&gt;1,G674-F675)</f>
        <v/>
      </c>
      <c r="H675" s="33" t="str">
        <f t="shared" si="11"/>
        <v/>
      </c>
      <c r="I675" s="2" t="str" cm="1">
        <f t="array" ref="I675">_xlfn.IFS(OR(D675="",E675="",F675=""),"",MOD(D675,12)&lt;&gt;0,"",MOD(D675,12)=0,"Year End"&amp;" "&amp;D675/12)</f>
        <v/>
      </c>
      <c r="V675">
        <v>664</v>
      </c>
    </row>
    <row r="676" spans="4:22">
      <c r="D676" s="30" t="str">
        <f>IF(V676&lt;=calcs!$F$4,'Loan Calculator'!V676,"")</f>
        <v/>
      </c>
      <c r="E676" s="27" t="str" cm="1">
        <f t="array" ref="E676">_xlfn.IFS(F676="","",G675&lt;F675,G675*calcs!$H$3,$D$8&lt;=0,$M$3-F676,$D$8&gt;0,$M$3-F676+$D$8,G675&lt;F675,G676*calcs!$H$3)</f>
        <v/>
      </c>
      <c r="F676" s="27" t="str" cm="1">
        <f t="array" ref="F676">_xlfn.IFS(F675="","",G675=0,"",G675&lt;1,"",G675&lt;F675,G675,AND(G675&gt;0,$D$8&gt;0),$D$8+($M$3-(G675*calcs!$H$3)),G675&gt;0,$M$3-(G675*calcs!$H$3))</f>
        <v/>
      </c>
      <c r="G676" s="27" t="str" cm="1">
        <f t="array" ref="G676">_xlfn.IFS(F676="","",G675-F676&lt;1,0,ISBLANK(F676)=TRUE,"",G675-F676&gt;1,G675-F676)</f>
        <v/>
      </c>
      <c r="H676" s="31" t="str">
        <f t="shared" si="11"/>
        <v/>
      </c>
      <c r="I676" s="2" t="str" cm="1">
        <f t="array" ref="I676">_xlfn.IFS(OR(D676="",E676="",F676=""),"",MOD(D676,12)&lt;&gt;0,"",MOD(D676,12)=0,"Year End"&amp;" "&amp;D676/12)</f>
        <v/>
      </c>
      <c r="V676">
        <v>665</v>
      </c>
    </row>
    <row r="677" spans="4:22">
      <c r="D677" s="32" t="str">
        <f>IF(V677&lt;=calcs!$F$4,'Loan Calculator'!V677,"")</f>
        <v/>
      </c>
      <c r="E677" s="29" t="str" cm="1">
        <f t="array" ref="E677">_xlfn.IFS(F677="","",G676&lt;F676,G676*calcs!$H$3,$D$8&lt;=0,$M$3-F677,$D$8&gt;0,$M$3-F677+$D$8,G676&lt;F676,G677*calcs!$H$3)</f>
        <v/>
      </c>
      <c r="F677" s="29" t="str" cm="1">
        <f t="array" ref="F677">_xlfn.IFS(F676="","",G676=0,"",G676&lt;1,"",G676&lt;F676,G676,AND(G676&gt;0,$D$8&gt;0),$D$8+($M$3-(G676*calcs!$H$3)),G676&gt;0,$M$3-(G676*calcs!$H$3))</f>
        <v/>
      </c>
      <c r="G677" s="29" t="str" cm="1">
        <f t="array" ref="G677">_xlfn.IFS(F677="","",G676-F677&lt;1,0,ISBLANK(F677)=TRUE,"",G676-F677&gt;1,G676-F677)</f>
        <v/>
      </c>
      <c r="H677" s="33" t="str">
        <f t="shared" si="11"/>
        <v/>
      </c>
      <c r="I677" s="2" t="str" cm="1">
        <f t="array" ref="I677">_xlfn.IFS(OR(D677="",E677="",F677=""),"",MOD(D677,12)&lt;&gt;0,"",MOD(D677,12)=0,"Year End"&amp;" "&amp;D677/12)</f>
        <v/>
      </c>
      <c r="V677">
        <v>666</v>
      </c>
    </row>
    <row r="678" spans="4:22">
      <c r="D678" s="30" t="str">
        <f>IF(V678&lt;=calcs!$F$4,'Loan Calculator'!V678,"")</f>
        <v/>
      </c>
      <c r="E678" s="27" t="str" cm="1">
        <f t="array" ref="E678">_xlfn.IFS(F678="","",G677&lt;F677,G677*calcs!$H$3,$D$8&lt;=0,$M$3-F678,$D$8&gt;0,$M$3-F678+$D$8,G677&lt;F677,G678*calcs!$H$3)</f>
        <v/>
      </c>
      <c r="F678" s="27" t="str" cm="1">
        <f t="array" ref="F678">_xlfn.IFS(F677="","",G677=0,"",G677&lt;1,"",G677&lt;F677,G677,AND(G677&gt;0,$D$8&gt;0),$D$8+($M$3-(G677*calcs!$H$3)),G677&gt;0,$M$3-(G677*calcs!$H$3))</f>
        <v/>
      </c>
      <c r="G678" s="27" t="str" cm="1">
        <f t="array" ref="G678">_xlfn.IFS(F678="","",G677-F678&lt;1,0,ISBLANK(F678)=TRUE,"",G677-F678&gt;1,G677-F678)</f>
        <v/>
      </c>
      <c r="H678" s="31" t="str">
        <f t="shared" si="11"/>
        <v/>
      </c>
      <c r="I678" s="2" t="str" cm="1">
        <f t="array" ref="I678">_xlfn.IFS(OR(D678="",E678="",F678=""),"",MOD(D678,12)&lt;&gt;0,"",MOD(D678,12)=0,"Year End"&amp;" "&amp;D678/12)</f>
        <v/>
      </c>
      <c r="V678">
        <v>667</v>
      </c>
    </row>
    <row r="679" spans="4:22">
      <c r="D679" s="32" t="str">
        <f>IF(V679&lt;=calcs!$F$4,'Loan Calculator'!V679,"")</f>
        <v/>
      </c>
      <c r="E679" s="29" t="str" cm="1">
        <f t="array" ref="E679">_xlfn.IFS(F679="","",G678&lt;F678,G678*calcs!$H$3,$D$8&lt;=0,$M$3-F679,$D$8&gt;0,$M$3-F679+$D$8,G678&lt;F678,G679*calcs!$H$3)</f>
        <v/>
      </c>
      <c r="F679" s="29" t="str" cm="1">
        <f t="array" ref="F679">_xlfn.IFS(F678="","",G678=0,"",G678&lt;1,"",G678&lt;F678,G678,AND(G678&gt;0,$D$8&gt;0),$D$8+($M$3-(G678*calcs!$H$3)),G678&gt;0,$M$3-(G678*calcs!$H$3))</f>
        <v/>
      </c>
      <c r="G679" s="29" t="str" cm="1">
        <f t="array" ref="G679">_xlfn.IFS(F679="","",G678-F679&lt;1,0,ISBLANK(F679)=TRUE,"",G678-F679&gt;1,G678-F679)</f>
        <v/>
      </c>
      <c r="H679" s="33" t="str">
        <f t="shared" si="11"/>
        <v/>
      </c>
      <c r="I679" s="2" t="str" cm="1">
        <f t="array" ref="I679">_xlfn.IFS(OR(D679="",E679="",F679=""),"",MOD(D679,12)&lt;&gt;0,"",MOD(D679,12)=0,"Year End"&amp;" "&amp;D679/12)</f>
        <v/>
      </c>
      <c r="V679">
        <v>668</v>
      </c>
    </row>
    <row r="680" spans="4:22">
      <c r="D680" s="30" t="str">
        <f>IF(V680&lt;=calcs!$F$4,'Loan Calculator'!V680,"")</f>
        <v/>
      </c>
      <c r="E680" s="27" t="str" cm="1">
        <f t="array" ref="E680">_xlfn.IFS(F680="","",G679&lt;F679,G679*calcs!$H$3,$D$8&lt;=0,$M$3-F680,$D$8&gt;0,$M$3-F680+$D$8,G679&lt;F679,G680*calcs!$H$3)</f>
        <v/>
      </c>
      <c r="F680" s="27" t="str" cm="1">
        <f t="array" ref="F680">_xlfn.IFS(F679="","",G679=0,"",G679&lt;1,"",G679&lt;F679,G679,AND(G679&gt;0,$D$8&gt;0),$D$8+($M$3-(G679*calcs!$H$3)),G679&gt;0,$M$3-(G679*calcs!$H$3))</f>
        <v/>
      </c>
      <c r="G680" s="27" t="str" cm="1">
        <f t="array" ref="G680">_xlfn.IFS(F680="","",G679-F680&lt;1,0,ISBLANK(F680)=TRUE,"",G679-F680&gt;1,G679-F680)</f>
        <v/>
      </c>
      <c r="H680" s="31" t="str">
        <f t="shared" si="11"/>
        <v/>
      </c>
      <c r="I680" s="2" t="str" cm="1">
        <f t="array" ref="I680">_xlfn.IFS(OR(D680="",E680="",F680=""),"",MOD(D680,12)&lt;&gt;0,"",MOD(D680,12)=0,"Year End"&amp;" "&amp;D680/12)</f>
        <v/>
      </c>
      <c r="V680">
        <v>669</v>
      </c>
    </row>
    <row r="681" spans="4:22">
      <c r="D681" s="32" t="str">
        <f>IF(V681&lt;=calcs!$F$4,'Loan Calculator'!V681,"")</f>
        <v/>
      </c>
      <c r="E681" s="29" t="str" cm="1">
        <f t="array" ref="E681">_xlfn.IFS(F681="","",G680&lt;F680,G680*calcs!$H$3,$D$8&lt;=0,$M$3-F681,$D$8&gt;0,$M$3-F681+$D$8,G680&lt;F680,G681*calcs!$H$3)</f>
        <v/>
      </c>
      <c r="F681" s="29" t="str" cm="1">
        <f t="array" ref="F681">_xlfn.IFS(F680="","",G680=0,"",G680&lt;1,"",G680&lt;F680,G680,AND(G680&gt;0,$D$8&gt;0),$D$8+($M$3-(G680*calcs!$H$3)),G680&gt;0,$M$3-(G680*calcs!$H$3))</f>
        <v/>
      </c>
      <c r="G681" s="29" t="str" cm="1">
        <f t="array" ref="G681">_xlfn.IFS(F681="","",G680-F681&lt;1,0,ISBLANK(F681)=TRUE,"",G680-F681&gt;1,G680-F681)</f>
        <v/>
      </c>
      <c r="H681" s="33" t="str">
        <f t="shared" si="11"/>
        <v/>
      </c>
      <c r="I681" s="2" t="str" cm="1">
        <f t="array" ref="I681">_xlfn.IFS(OR(D681="",E681="",F681=""),"",MOD(D681,12)&lt;&gt;0,"",MOD(D681,12)=0,"Year End"&amp;" "&amp;D681/12)</f>
        <v/>
      </c>
      <c r="V681">
        <v>670</v>
      </c>
    </row>
    <row r="682" spans="4:22">
      <c r="D682" s="30" t="str">
        <f>IF(V682&lt;=calcs!$F$4,'Loan Calculator'!V682,"")</f>
        <v/>
      </c>
      <c r="E682" s="27" t="str" cm="1">
        <f t="array" ref="E682">_xlfn.IFS(F682="","",G681&lt;F681,G681*calcs!$H$3,$D$8&lt;=0,$M$3-F682,$D$8&gt;0,$M$3-F682+$D$8,G681&lt;F681,G682*calcs!$H$3)</f>
        <v/>
      </c>
      <c r="F682" s="27" t="str" cm="1">
        <f t="array" ref="F682">_xlfn.IFS(F681="","",G681=0,"",G681&lt;1,"",G681&lt;F681,G681,AND(G681&gt;0,$D$8&gt;0),$D$8+($M$3-(G681*calcs!$H$3)),G681&gt;0,$M$3-(G681*calcs!$H$3))</f>
        <v/>
      </c>
      <c r="G682" s="27" t="str" cm="1">
        <f t="array" ref="G682">_xlfn.IFS(F682="","",G681-F682&lt;1,0,ISBLANK(F682)=TRUE,"",G681-F682&gt;1,G681-F682)</f>
        <v/>
      </c>
      <c r="H682" s="31" t="str">
        <f t="shared" si="11"/>
        <v/>
      </c>
      <c r="I682" s="2" t="str" cm="1">
        <f t="array" ref="I682">_xlfn.IFS(OR(D682="",E682="",F682=""),"",MOD(D682,12)&lt;&gt;0,"",MOD(D682,12)=0,"Year End"&amp;" "&amp;D682/12)</f>
        <v/>
      </c>
      <c r="V682">
        <v>671</v>
      </c>
    </row>
    <row r="683" spans="4:22">
      <c r="D683" s="32" t="str">
        <f>IF(V683&lt;=calcs!$F$4,'Loan Calculator'!V683,"")</f>
        <v/>
      </c>
      <c r="E683" s="29" t="str" cm="1">
        <f t="array" ref="E683">_xlfn.IFS(F683="","",G682&lt;F682,G682*calcs!$H$3,$D$8&lt;=0,$M$3-F683,$D$8&gt;0,$M$3-F683+$D$8,G682&lt;F682,G683*calcs!$H$3)</f>
        <v/>
      </c>
      <c r="F683" s="29" t="str" cm="1">
        <f t="array" ref="F683">_xlfn.IFS(F682="","",G682=0,"",G682&lt;1,"",G682&lt;F682,G682,AND(G682&gt;0,$D$8&gt;0),$D$8+($M$3-(G682*calcs!$H$3)),G682&gt;0,$M$3-(G682*calcs!$H$3))</f>
        <v/>
      </c>
      <c r="G683" s="29" t="str" cm="1">
        <f t="array" ref="G683">_xlfn.IFS(F683="","",G682-F683&lt;1,0,ISBLANK(F683)=TRUE,"",G682-F683&gt;1,G682-F683)</f>
        <v/>
      </c>
      <c r="H683" s="33" t="str">
        <f t="shared" si="11"/>
        <v/>
      </c>
      <c r="I683" s="2" t="str" cm="1">
        <f t="array" ref="I683">_xlfn.IFS(OR(D683="",E683="",F683=""),"",MOD(D683,12)&lt;&gt;0,"",MOD(D683,12)=0,"Year End"&amp;" "&amp;D683/12)</f>
        <v/>
      </c>
      <c r="V683">
        <v>672</v>
      </c>
    </row>
    <row r="684" spans="4:22">
      <c r="D684" s="30" t="str">
        <f>IF(V684&lt;=calcs!$F$4,'Loan Calculator'!V684,"")</f>
        <v/>
      </c>
      <c r="E684" s="27" t="str" cm="1">
        <f t="array" ref="E684">_xlfn.IFS(F684="","",G683&lt;F683,G683*calcs!$H$3,$D$8&lt;=0,$M$3-F684,$D$8&gt;0,$M$3-F684+$D$8,G683&lt;F683,G684*calcs!$H$3)</f>
        <v/>
      </c>
      <c r="F684" s="27" t="str" cm="1">
        <f t="array" ref="F684">_xlfn.IFS(F683="","",G683=0,"",G683&lt;1,"",G683&lt;F683,G683,AND(G683&gt;0,$D$8&gt;0),$D$8+($M$3-(G683*calcs!$H$3)),G683&gt;0,$M$3-(G683*calcs!$H$3))</f>
        <v/>
      </c>
      <c r="G684" s="27" t="str" cm="1">
        <f t="array" ref="G684">_xlfn.IFS(F684="","",G683-F684&lt;1,0,ISBLANK(F684)=TRUE,"",G683-F684&gt;1,G683-F684)</f>
        <v/>
      </c>
      <c r="H684" s="31" t="str">
        <f t="shared" si="11"/>
        <v/>
      </c>
      <c r="I684" s="2" t="str" cm="1">
        <f t="array" ref="I684">_xlfn.IFS(OR(D684="",E684="",F684=""),"",MOD(D684,12)&lt;&gt;0,"",MOD(D684,12)=0,"Year End"&amp;" "&amp;D684/12)</f>
        <v/>
      </c>
      <c r="V684">
        <v>673</v>
      </c>
    </row>
    <row r="685" spans="4:22">
      <c r="D685" s="32" t="str">
        <f>IF(V685&lt;=calcs!$F$4,'Loan Calculator'!V685,"")</f>
        <v/>
      </c>
      <c r="E685" s="29" t="str" cm="1">
        <f t="array" ref="E685">_xlfn.IFS(F685="","",G684&lt;F684,G684*calcs!$H$3,$D$8&lt;=0,$M$3-F685,$D$8&gt;0,$M$3-F685+$D$8,G684&lt;F684,G685*calcs!$H$3)</f>
        <v/>
      </c>
      <c r="F685" s="29" t="str" cm="1">
        <f t="array" ref="F685">_xlfn.IFS(F684="","",G684=0,"",G684&lt;1,"",G684&lt;F684,G684,AND(G684&gt;0,$D$8&gt;0),$D$8+($M$3-(G684*calcs!$H$3)),G684&gt;0,$M$3-(G684*calcs!$H$3))</f>
        <v/>
      </c>
      <c r="G685" s="29" t="str" cm="1">
        <f t="array" ref="G685">_xlfn.IFS(F685="","",G684-F685&lt;1,0,ISBLANK(F685)=TRUE,"",G684-F685&gt;1,G684-F685)</f>
        <v/>
      </c>
      <c r="H685" s="33" t="str">
        <f t="shared" si="11"/>
        <v/>
      </c>
      <c r="I685" s="2" t="str" cm="1">
        <f t="array" ref="I685">_xlfn.IFS(OR(D685="",E685="",F685=""),"",MOD(D685,12)&lt;&gt;0,"",MOD(D685,12)=0,"Year End"&amp;" "&amp;D685/12)</f>
        <v/>
      </c>
      <c r="V685">
        <v>674</v>
      </c>
    </row>
    <row r="686" spans="4:22">
      <c r="D686" s="30" t="str">
        <f>IF(V686&lt;=calcs!$F$4,'Loan Calculator'!V686,"")</f>
        <v/>
      </c>
      <c r="E686" s="27" t="str" cm="1">
        <f t="array" ref="E686">_xlfn.IFS(F686="","",G685&lt;F685,G685*calcs!$H$3,$D$8&lt;=0,$M$3-F686,$D$8&gt;0,$M$3-F686+$D$8,G685&lt;F685,G686*calcs!$H$3)</f>
        <v/>
      </c>
      <c r="F686" s="27" t="str" cm="1">
        <f t="array" ref="F686">_xlfn.IFS(F685="","",G685=0,"",G685&lt;1,"",G685&lt;F685,G685,AND(G685&gt;0,$D$8&gt;0),$D$8+($M$3-(G685*calcs!$H$3)),G685&gt;0,$M$3-(G685*calcs!$H$3))</f>
        <v/>
      </c>
      <c r="G686" s="27" t="str" cm="1">
        <f t="array" ref="G686">_xlfn.IFS(F686="","",G685-F686&lt;1,0,ISBLANK(F686)=TRUE,"",G685-F686&gt;1,G685-F686)</f>
        <v/>
      </c>
      <c r="H686" s="31" t="str">
        <f t="shared" si="11"/>
        <v/>
      </c>
      <c r="I686" s="2" t="str" cm="1">
        <f t="array" ref="I686">_xlfn.IFS(OR(D686="",E686="",F686=""),"",MOD(D686,12)&lt;&gt;0,"",MOD(D686,12)=0,"Year End"&amp;" "&amp;D686/12)</f>
        <v/>
      </c>
      <c r="V686">
        <v>675</v>
      </c>
    </row>
    <row r="687" spans="4:22">
      <c r="D687" s="32" t="str">
        <f>IF(V687&lt;=calcs!$F$4,'Loan Calculator'!V687,"")</f>
        <v/>
      </c>
      <c r="E687" s="29" t="str" cm="1">
        <f t="array" ref="E687">_xlfn.IFS(F687="","",G686&lt;F686,G686*calcs!$H$3,$D$8&lt;=0,$M$3-F687,$D$8&gt;0,$M$3-F687+$D$8,G686&lt;F686,G687*calcs!$H$3)</f>
        <v/>
      </c>
      <c r="F687" s="29" t="str" cm="1">
        <f t="array" ref="F687">_xlfn.IFS(F686="","",G686=0,"",G686&lt;1,"",G686&lt;F686,G686,AND(G686&gt;0,$D$8&gt;0),$D$8+($M$3-(G686*calcs!$H$3)),G686&gt;0,$M$3-(G686*calcs!$H$3))</f>
        <v/>
      </c>
      <c r="G687" s="29" t="str" cm="1">
        <f t="array" ref="G687">_xlfn.IFS(F687="","",G686-F687&lt;1,0,ISBLANK(F687)=TRUE,"",G686-F687&gt;1,G686-F687)</f>
        <v/>
      </c>
      <c r="H687" s="33" t="str">
        <f t="shared" si="11"/>
        <v/>
      </c>
      <c r="I687" s="2" t="str" cm="1">
        <f t="array" ref="I687">_xlfn.IFS(OR(D687="",E687="",F687=""),"",MOD(D687,12)&lt;&gt;0,"",MOD(D687,12)=0,"Year End"&amp;" "&amp;D687/12)</f>
        <v/>
      </c>
      <c r="V687">
        <v>676</v>
      </c>
    </row>
    <row r="688" spans="4:22">
      <c r="D688" s="30" t="str">
        <f>IF(V688&lt;=calcs!$F$4,'Loan Calculator'!V688,"")</f>
        <v/>
      </c>
      <c r="E688" s="27" t="str" cm="1">
        <f t="array" ref="E688">_xlfn.IFS(F688="","",G687&lt;F687,G687*calcs!$H$3,$D$8&lt;=0,$M$3-F688,$D$8&gt;0,$M$3-F688+$D$8,G687&lt;F687,G688*calcs!$H$3)</f>
        <v/>
      </c>
      <c r="F688" s="27" t="str" cm="1">
        <f t="array" ref="F688">_xlfn.IFS(F687="","",G687=0,"",G687&lt;1,"",G687&lt;F687,G687,AND(G687&gt;0,$D$8&gt;0),$D$8+($M$3-(G687*calcs!$H$3)),G687&gt;0,$M$3-(G687*calcs!$H$3))</f>
        <v/>
      </c>
      <c r="G688" s="27" t="str" cm="1">
        <f t="array" ref="G688">_xlfn.IFS(F688="","",G687-F688&lt;1,0,ISBLANK(F688)=TRUE,"",G687-F688&gt;1,G687-F688)</f>
        <v/>
      </c>
      <c r="H688" s="31" t="str">
        <f t="shared" si="11"/>
        <v/>
      </c>
      <c r="I688" s="2" t="str" cm="1">
        <f t="array" ref="I688">_xlfn.IFS(OR(D688="",E688="",F688=""),"",MOD(D688,12)&lt;&gt;0,"",MOD(D688,12)=0,"Year End"&amp;" "&amp;D688/12)</f>
        <v/>
      </c>
      <c r="V688">
        <v>677</v>
      </c>
    </row>
    <row r="689" spans="4:22">
      <c r="D689" s="32" t="str">
        <f>IF(V689&lt;=calcs!$F$4,'Loan Calculator'!V689,"")</f>
        <v/>
      </c>
      <c r="E689" s="29" t="str" cm="1">
        <f t="array" ref="E689">_xlfn.IFS(F689="","",G688&lt;F688,G688*calcs!$H$3,$D$8&lt;=0,$M$3-F689,$D$8&gt;0,$M$3-F689+$D$8,G688&lt;F688,G689*calcs!$H$3)</f>
        <v/>
      </c>
      <c r="F689" s="29" t="str" cm="1">
        <f t="array" ref="F689">_xlfn.IFS(F688="","",G688=0,"",G688&lt;1,"",G688&lt;F688,G688,AND(G688&gt;0,$D$8&gt;0),$D$8+($M$3-(G688*calcs!$H$3)),G688&gt;0,$M$3-(G688*calcs!$H$3))</f>
        <v/>
      </c>
      <c r="G689" s="29" t="str" cm="1">
        <f t="array" ref="G689">_xlfn.IFS(F689="","",G688-F689&lt;1,0,ISBLANK(F689)=TRUE,"",G688-F689&gt;1,G688-F689)</f>
        <v/>
      </c>
      <c r="H689" s="33" t="str">
        <f t="shared" si="11"/>
        <v/>
      </c>
      <c r="I689" s="2" t="str" cm="1">
        <f t="array" ref="I689">_xlfn.IFS(OR(D689="",E689="",F689=""),"",MOD(D689,12)&lt;&gt;0,"",MOD(D689,12)=0,"Year End"&amp;" "&amp;D689/12)</f>
        <v/>
      </c>
      <c r="V689">
        <v>678</v>
      </c>
    </row>
    <row r="690" spans="4:22">
      <c r="D690" s="30" t="str">
        <f>IF(V690&lt;=calcs!$F$4,'Loan Calculator'!V690,"")</f>
        <v/>
      </c>
      <c r="E690" s="27" t="str" cm="1">
        <f t="array" ref="E690">_xlfn.IFS(F690="","",G689&lt;F689,G689*calcs!$H$3,$D$8&lt;=0,$M$3-F690,$D$8&gt;0,$M$3-F690+$D$8,G689&lt;F689,G690*calcs!$H$3)</f>
        <v/>
      </c>
      <c r="F690" s="27" t="str" cm="1">
        <f t="array" ref="F690">_xlfn.IFS(F689="","",G689=0,"",G689&lt;1,"",G689&lt;F689,G689,AND(G689&gt;0,$D$8&gt;0),$D$8+($M$3-(G689*calcs!$H$3)),G689&gt;0,$M$3-(G689*calcs!$H$3))</f>
        <v/>
      </c>
      <c r="G690" s="27" t="str" cm="1">
        <f t="array" ref="G690">_xlfn.IFS(F690="","",G689-F690&lt;1,0,ISBLANK(F690)=TRUE,"",G689-F690&gt;1,G689-F690)</f>
        <v/>
      </c>
      <c r="H690" s="31" t="str">
        <f t="shared" si="11"/>
        <v/>
      </c>
      <c r="I690" s="2" t="str" cm="1">
        <f t="array" ref="I690">_xlfn.IFS(OR(D690="",E690="",F690=""),"",MOD(D690,12)&lt;&gt;0,"",MOD(D690,12)=0,"Year End"&amp;" "&amp;D690/12)</f>
        <v/>
      </c>
      <c r="V690">
        <v>679</v>
      </c>
    </row>
    <row r="691" spans="4:22">
      <c r="D691" s="32" t="str">
        <f>IF(V691&lt;=calcs!$F$4,'Loan Calculator'!V691,"")</f>
        <v/>
      </c>
      <c r="E691" s="29" t="str" cm="1">
        <f t="array" ref="E691">_xlfn.IFS(F691="","",G690&lt;F690,G690*calcs!$H$3,$D$8&lt;=0,$M$3-F691,$D$8&gt;0,$M$3-F691+$D$8,G690&lt;F690,G691*calcs!$H$3)</f>
        <v/>
      </c>
      <c r="F691" s="29" t="str" cm="1">
        <f t="array" ref="F691">_xlfn.IFS(F690="","",G690=0,"",G690&lt;1,"",G690&lt;F690,G690,AND(G690&gt;0,$D$8&gt;0),$D$8+($M$3-(G690*calcs!$H$3)),G690&gt;0,$M$3-(G690*calcs!$H$3))</f>
        <v/>
      </c>
      <c r="G691" s="29" t="str" cm="1">
        <f t="array" ref="G691">_xlfn.IFS(F691="","",G690-F691&lt;1,0,ISBLANK(F691)=TRUE,"",G690-F691&gt;1,G690-F691)</f>
        <v/>
      </c>
      <c r="H691" s="33" t="str">
        <f t="shared" si="11"/>
        <v/>
      </c>
      <c r="I691" s="2" t="str" cm="1">
        <f t="array" ref="I691">_xlfn.IFS(OR(D691="",E691="",F691=""),"",MOD(D691,12)&lt;&gt;0,"",MOD(D691,12)=0,"Year End"&amp;" "&amp;D691/12)</f>
        <v/>
      </c>
      <c r="V691">
        <v>680</v>
      </c>
    </row>
    <row r="692" spans="4:22">
      <c r="D692" s="30" t="str">
        <f>IF(V692&lt;=calcs!$F$4,'Loan Calculator'!V692,"")</f>
        <v/>
      </c>
      <c r="E692" s="27" t="str" cm="1">
        <f t="array" ref="E692">_xlfn.IFS(F692="","",G691&lt;F691,G691*calcs!$H$3,$D$8&lt;=0,$M$3-F692,$D$8&gt;0,$M$3-F692+$D$8,G691&lt;F691,G692*calcs!$H$3)</f>
        <v/>
      </c>
      <c r="F692" s="27" t="str" cm="1">
        <f t="array" ref="F692">_xlfn.IFS(F691="","",G691=0,"",G691&lt;1,"",G691&lt;F691,G691,AND(G691&gt;0,$D$8&gt;0),$D$8+($M$3-(G691*calcs!$H$3)),G691&gt;0,$M$3-(G691*calcs!$H$3))</f>
        <v/>
      </c>
      <c r="G692" s="27" t="str" cm="1">
        <f t="array" ref="G692">_xlfn.IFS(F692="","",G691-F692&lt;1,0,ISBLANK(F692)=TRUE,"",G691-F692&gt;1,G691-F692)</f>
        <v/>
      </c>
      <c r="H692" s="31" t="str">
        <f t="shared" si="11"/>
        <v/>
      </c>
      <c r="I692" s="2" t="str" cm="1">
        <f t="array" ref="I692">_xlfn.IFS(OR(D692="",E692="",F692=""),"",MOD(D692,12)&lt;&gt;0,"",MOD(D692,12)=0,"Year End"&amp;" "&amp;D692/12)</f>
        <v/>
      </c>
      <c r="V692">
        <v>681</v>
      </c>
    </row>
    <row r="693" spans="4:22">
      <c r="D693" s="32" t="str">
        <f>IF(V693&lt;=calcs!$F$4,'Loan Calculator'!V693,"")</f>
        <v/>
      </c>
      <c r="E693" s="29" t="str" cm="1">
        <f t="array" ref="E693">_xlfn.IFS(F693="","",G692&lt;F692,G692*calcs!$H$3,$D$8&lt;=0,$M$3-F693,$D$8&gt;0,$M$3-F693+$D$8,G692&lt;F692,G693*calcs!$H$3)</f>
        <v/>
      </c>
      <c r="F693" s="29" t="str" cm="1">
        <f t="array" ref="F693">_xlfn.IFS(F692="","",G692=0,"",G692&lt;1,"",G692&lt;F692,G692,AND(G692&gt;0,$D$8&gt;0),$D$8+($M$3-(G692*calcs!$H$3)),G692&gt;0,$M$3-(G692*calcs!$H$3))</f>
        <v/>
      </c>
      <c r="G693" s="29" t="str" cm="1">
        <f t="array" ref="G693">_xlfn.IFS(F693="","",G692-F693&lt;1,0,ISBLANK(F693)=TRUE,"",G692-F693&gt;1,G692-F693)</f>
        <v/>
      </c>
      <c r="H693" s="33" t="str">
        <f t="shared" si="11"/>
        <v/>
      </c>
      <c r="I693" s="2" t="str" cm="1">
        <f t="array" ref="I693">_xlfn.IFS(OR(D693="",E693="",F693=""),"",MOD(D693,12)&lt;&gt;0,"",MOD(D693,12)=0,"Year End"&amp;" "&amp;D693/12)</f>
        <v/>
      </c>
      <c r="V693">
        <v>682</v>
      </c>
    </row>
    <row r="694" spans="4:22">
      <c r="D694" s="30" t="str">
        <f>IF(V694&lt;=calcs!$F$4,'Loan Calculator'!V694,"")</f>
        <v/>
      </c>
      <c r="E694" s="27" t="str" cm="1">
        <f t="array" ref="E694">_xlfn.IFS(F694="","",G693&lt;F693,G693*calcs!$H$3,$D$8&lt;=0,$M$3-F694,$D$8&gt;0,$M$3-F694+$D$8,G693&lt;F693,G694*calcs!$H$3)</f>
        <v/>
      </c>
      <c r="F694" s="27" t="str" cm="1">
        <f t="array" ref="F694">_xlfn.IFS(F693="","",G693=0,"",G693&lt;1,"",G693&lt;F693,G693,AND(G693&gt;0,$D$8&gt;0),$D$8+($M$3-(G693*calcs!$H$3)),G693&gt;0,$M$3-(G693*calcs!$H$3))</f>
        <v/>
      </c>
      <c r="G694" s="27" t="str" cm="1">
        <f t="array" ref="G694">_xlfn.IFS(F694="","",G693-F694&lt;1,0,ISBLANK(F694)=TRUE,"",G693-F694&gt;1,G693-F694)</f>
        <v/>
      </c>
      <c r="H694" s="31" t="str">
        <f t="shared" si="11"/>
        <v/>
      </c>
      <c r="I694" s="2" t="str" cm="1">
        <f t="array" ref="I694">_xlfn.IFS(OR(D694="",E694="",F694=""),"",MOD(D694,12)&lt;&gt;0,"",MOD(D694,12)=0,"Year End"&amp;" "&amp;D694/12)</f>
        <v/>
      </c>
      <c r="V694">
        <v>683</v>
      </c>
    </row>
    <row r="695" spans="4:22">
      <c r="D695" s="32" t="str">
        <f>IF(V695&lt;=calcs!$F$4,'Loan Calculator'!V695,"")</f>
        <v/>
      </c>
      <c r="E695" s="29" t="str" cm="1">
        <f t="array" ref="E695">_xlfn.IFS(F695="","",G694&lt;F694,G694*calcs!$H$3,$D$8&lt;=0,$M$3-F695,$D$8&gt;0,$M$3-F695+$D$8,G694&lt;F694,G695*calcs!$H$3)</f>
        <v/>
      </c>
      <c r="F695" s="29" t="str" cm="1">
        <f t="array" ref="F695">_xlfn.IFS(F694="","",G694=0,"",G694&lt;1,"",G694&lt;F694,G694,AND(G694&gt;0,$D$8&gt;0),$D$8+($M$3-(G694*calcs!$H$3)),G694&gt;0,$M$3-(G694*calcs!$H$3))</f>
        <v/>
      </c>
      <c r="G695" s="29" t="str" cm="1">
        <f t="array" ref="G695">_xlfn.IFS(F695="","",G694-F695&lt;1,0,ISBLANK(F695)=TRUE,"",G694-F695&gt;1,G694-F695)</f>
        <v/>
      </c>
      <c r="H695" s="33" t="str">
        <f t="shared" si="11"/>
        <v/>
      </c>
      <c r="I695" s="2" t="str" cm="1">
        <f t="array" ref="I695">_xlfn.IFS(OR(D695="",E695="",F695=""),"",MOD(D695,12)&lt;&gt;0,"",MOD(D695,12)=0,"Year End"&amp;" "&amp;D695/12)</f>
        <v/>
      </c>
      <c r="V695">
        <v>684</v>
      </c>
    </row>
    <row r="696" spans="4:22">
      <c r="D696" s="30" t="str">
        <f>IF(V696&lt;=calcs!$F$4,'Loan Calculator'!V696,"")</f>
        <v/>
      </c>
      <c r="E696" s="27" t="str" cm="1">
        <f t="array" ref="E696">_xlfn.IFS(F696="","",G695&lt;F695,G695*calcs!$H$3,$D$8&lt;=0,$M$3-F696,$D$8&gt;0,$M$3-F696+$D$8,G695&lt;F695,G696*calcs!$H$3)</f>
        <v/>
      </c>
      <c r="F696" s="27" t="str" cm="1">
        <f t="array" ref="F696">_xlfn.IFS(F695="","",G695=0,"",G695&lt;1,"",G695&lt;F695,G695,AND(G695&gt;0,$D$8&gt;0),$D$8+($M$3-(G695*calcs!$H$3)),G695&gt;0,$M$3-(G695*calcs!$H$3))</f>
        <v/>
      </c>
      <c r="G696" s="27" t="str" cm="1">
        <f t="array" ref="G696">_xlfn.IFS(F696="","",G695-F696&lt;1,0,ISBLANK(F696)=TRUE,"",G695-F696&gt;1,G695-F696)</f>
        <v/>
      </c>
      <c r="H696" s="31" t="str">
        <f t="shared" si="11"/>
        <v/>
      </c>
      <c r="I696" s="2" t="str" cm="1">
        <f t="array" ref="I696">_xlfn.IFS(OR(D696="",E696="",F696=""),"",MOD(D696,12)&lt;&gt;0,"",MOD(D696,12)=0,"Year End"&amp;" "&amp;D696/12)</f>
        <v/>
      </c>
      <c r="V696">
        <v>685</v>
      </c>
    </row>
    <row r="697" spans="4:22">
      <c r="D697" s="32" t="str">
        <f>IF(V697&lt;=calcs!$F$4,'Loan Calculator'!V697,"")</f>
        <v/>
      </c>
      <c r="E697" s="29" t="str" cm="1">
        <f t="array" ref="E697">_xlfn.IFS(F697="","",G696&lt;F696,G696*calcs!$H$3,$D$8&lt;=0,$M$3-F697,$D$8&gt;0,$M$3-F697+$D$8,G696&lt;F696,G697*calcs!$H$3)</f>
        <v/>
      </c>
      <c r="F697" s="29" t="str" cm="1">
        <f t="array" ref="F697">_xlfn.IFS(F696="","",G696=0,"",G696&lt;1,"",G696&lt;F696,G696,AND(G696&gt;0,$D$8&gt;0),$D$8+($M$3-(G696*calcs!$H$3)),G696&gt;0,$M$3-(G696*calcs!$H$3))</f>
        <v/>
      </c>
      <c r="G697" s="29" t="str" cm="1">
        <f t="array" ref="G697">_xlfn.IFS(F697="","",G696-F697&lt;1,0,ISBLANK(F697)=TRUE,"",G696-F697&gt;1,G696-F697)</f>
        <v/>
      </c>
      <c r="H697" s="33" t="str">
        <f t="shared" si="11"/>
        <v/>
      </c>
      <c r="I697" s="2" t="str" cm="1">
        <f t="array" ref="I697">_xlfn.IFS(OR(D697="",E697="",F697=""),"",MOD(D697,12)&lt;&gt;0,"",MOD(D697,12)=0,"Year End"&amp;" "&amp;D697/12)</f>
        <v/>
      </c>
      <c r="V697">
        <v>686</v>
      </c>
    </row>
    <row r="698" spans="4:22">
      <c r="D698" s="30" t="str">
        <f>IF(V698&lt;=calcs!$F$4,'Loan Calculator'!V698,"")</f>
        <v/>
      </c>
      <c r="E698" s="27" t="str" cm="1">
        <f t="array" ref="E698">_xlfn.IFS(F698="","",G697&lt;F697,G697*calcs!$H$3,$D$8&lt;=0,$M$3-F698,$D$8&gt;0,$M$3-F698+$D$8,G697&lt;F697,G698*calcs!$H$3)</f>
        <v/>
      </c>
      <c r="F698" s="27" t="str" cm="1">
        <f t="array" ref="F698">_xlfn.IFS(F697="","",G697=0,"",G697&lt;1,"",G697&lt;F697,G697,AND(G697&gt;0,$D$8&gt;0),$D$8+($M$3-(G697*calcs!$H$3)),G697&gt;0,$M$3-(G697*calcs!$H$3))</f>
        <v/>
      </c>
      <c r="G698" s="27" t="str" cm="1">
        <f t="array" ref="G698">_xlfn.IFS(F698="","",G697-F698&lt;1,0,ISBLANK(F698)=TRUE,"",G697-F698&gt;1,G697-F698)</f>
        <v/>
      </c>
      <c r="H698" s="31" t="str">
        <f t="shared" si="11"/>
        <v/>
      </c>
      <c r="I698" s="2" t="str" cm="1">
        <f t="array" ref="I698">_xlfn.IFS(OR(D698="",E698="",F698=""),"",MOD(D698,12)&lt;&gt;0,"",MOD(D698,12)=0,"Year End"&amp;" "&amp;D698/12)</f>
        <v/>
      </c>
      <c r="V698">
        <v>687</v>
      </c>
    </row>
    <row r="699" spans="4:22">
      <c r="D699" s="32" t="str">
        <f>IF(V699&lt;=calcs!$F$4,'Loan Calculator'!V699,"")</f>
        <v/>
      </c>
      <c r="E699" s="29" t="str" cm="1">
        <f t="array" ref="E699">_xlfn.IFS(F699="","",G698&lt;F698,G698*calcs!$H$3,$D$8&lt;=0,$M$3-F699,$D$8&gt;0,$M$3-F699+$D$8,G698&lt;F698,G699*calcs!$H$3)</f>
        <v/>
      </c>
      <c r="F699" s="29" t="str" cm="1">
        <f t="array" ref="F699">_xlfn.IFS(F698="","",G698=0,"",G698&lt;1,"",G698&lt;F698,G698,AND(G698&gt;0,$D$8&gt;0),$D$8+($M$3-(G698*calcs!$H$3)),G698&gt;0,$M$3-(G698*calcs!$H$3))</f>
        <v/>
      </c>
      <c r="G699" s="29" t="str" cm="1">
        <f t="array" ref="G699">_xlfn.IFS(F699="","",G698-F699&lt;1,0,ISBLANK(F699)=TRUE,"",G698-F699&gt;1,G698-F699)</f>
        <v/>
      </c>
      <c r="H699" s="33" t="str">
        <f t="shared" si="11"/>
        <v/>
      </c>
      <c r="I699" s="2" t="str" cm="1">
        <f t="array" ref="I699">_xlfn.IFS(OR(D699="",E699="",F699=""),"",MOD(D699,12)&lt;&gt;0,"",MOD(D699,12)=0,"Year End"&amp;" "&amp;D699/12)</f>
        <v/>
      </c>
      <c r="V699">
        <v>688</v>
      </c>
    </row>
    <row r="700" spans="4:22">
      <c r="D700" s="30" t="str">
        <f>IF(V700&lt;=calcs!$F$4,'Loan Calculator'!V700,"")</f>
        <v/>
      </c>
      <c r="E700" s="27" t="str" cm="1">
        <f t="array" ref="E700">_xlfn.IFS(F700="","",G699&lt;F699,G699*calcs!$H$3,$D$8&lt;=0,$M$3-F700,$D$8&gt;0,$M$3-F700+$D$8,G699&lt;F699,G700*calcs!$H$3)</f>
        <v/>
      </c>
      <c r="F700" s="27" t="str" cm="1">
        <f t="array" ref="F700">_xlfn.IFS(F699="","",G699=0,"",G699&lt;1,"",G699&lt;F699,G699,AND(G699&gt;0,$D$8&gt;0),$D$8+($M$3-(G699*calcs!$H$3)),G699&gt;0,$M$3-(G699*calcs!$H$3))</f>
        <v/>
      </c>
      <c r="G700" s="27" t="str" cm="1">
        <f t="array" ref="G700">_xlfn.IFS(F700="","",G699-F700&lt;1,0,ISBLANK(F700)=TRUE,"",G699-F700&gt;1,G699-F700)</f>
        <v/>
      </c>
      <c r="H700" s="31" t="str">
        <f t="shared" si="11"/>
        <v/>
      </c>
      <c r="I700" s="2" t="str" cm="1">
        <f t="array" ref="I700">_xlfn.IFS(OR(D700="",E700="",F700=""),"",MOD(D700,12)&lt;&gt;0,"",MOD(D700,12)=0,"Year End"&amp;" "&amp;D700/12)</f>
        <v/>
      </c>
      <c r="V700">
        <v>689</v>
      </c>
    </row>
    <row r="701" spans="4:22">
      <c r="D701" s="32" t="str">
        <f>IF(V701&lt;=calcs!$F$4,'Loan Calculator'!V701,"")</f>
        <v/>
      </c>
      <c r="E701" s="29" t="str" cm="1">
        <f t="array" ref="E701">_xlfn.IFS(F701="","",G700&lt;F700,G700*calcs!$H$3,$D$8&lt;=0,$M$3-F701,$D$8&gt;0,$M$3-F701+$D$8,G700&lt;F700,G701*calcs!$H$3)</f>
        <v/>
      </c>
      <c r="F701" s="29" t="str" cm="1">
        <f t="array" ref="F701">_xlfn.IFS(F700="","",G700=0,"",G700&lt;1,"",G700&lt;F700,G700,AND(G700&gt;0,$D$8&gt;0),$D$8+($M$3-(G700*calcs!$H$3)),G700&gt;0,$M$3-(G700*calcs!$H$3))</f>
        <v/>
      </c>
      <c r="G701" s="29" t="str" cm="1">
        <f t="array" ref="G701">_xlfn.IFS(F701="","",G700-F701&lt;1,0,ISBLANK(F701)=TRUE,"",G700-F701&gt;1,G700-F701)</f>
        <v/>
      </c>
      <c r="H701" s="33" t="str">
        <f t="shared" si="11"/>
        <v/>
      </c>
      <c r="I701" s="2" t="str" cm="1">
        <f t="array" ref="I701">_xlfn.IFS(OR(D701="",E701="",F701=""),"",MOD(D701,12)&lt;&gt;0,"",MOD(D701,12)=0,"Year End"&amp;" "&amp;D701/12)</f>
        <v/>
      </c>
      <c r="V701">
        <v>690</v>
      </c>
    </row>
    <row r="702" spans="4:22">
      <c r="D702" s="30" t="str">
        <f>IF(V702&lt;=calcs!$F$4,'Loan Calculator'!V702,"")</f>
        <v/>
      </c>
      <c r="E702" s="27" t="str" cm="1">
        <f t="array" ref="E702">_xlfn.IFS(F702="","",G701&lt;F701,G701*calcs!$H$3,$D$8&lt;=0,$M$3-F702,$D$8&gt;0,$M$3-F702+$D$8,G701&lt;F701,G702*calcs!$H$3)</f>
        <v/>
      </c>
      <c r="F702" s="27" t="str" cm="1">
        <f t="array" ref="F702">_xlfn.IFS(F701="","",G701=0,"",G701&lt;1,"",G701&lt;F701,G701,AND(G701&gt;0,$D$8&gt;0),$D$8+($M$3-(G701*calcs!$H$3)),G701&gt;0,$M$3-(G701*calcs!$H$3))</f>
        <v/>
      </c>
      <c r="G702" s="27" t="str" cm="1">
        <f t="array" ref="G702">_xlfn.IFS(F702="","",G701-F702&lt;1,0,ISBLANK(F702)=TRUE,"",G701-F702&gt;1,G701-F702)</f>
        <v/>
      </c>
      <c r="H702" s="31" t="str">
        <f t="shared" si="11"/>
        <v/>
      </c>
      <c r="I702" s="2" t="str" cm="1">
        <f t="array" ref="I702">_xlfn.IFS(OR(D702="",E702="",F702=""),"",MOD(D702,12)&lt;&gt;0,"",MOD(D702,12)=0,"Year End"&amp;" "&amp;D702/12)</f>
        <v/>
      </c>
      <c r="V702">
        <v>691</v>
      </c>
    </row>
    <row r="703" spans="4:22">
      <c r="D703" s="32" t="str">
        <f>IF(V703&lt;=calcs!$F$4,'Loan Calculator'!V703,"")</f>
        <v/>
      </c>
      <c r="E703" s="29" t="str" cm="1">
        <f t="array" ref="E703">_xlfn.IFS(F703="","",G702&lt;F702,G702*calcs!$H$3,$D$8&lt;=0,$M$3-F703,$D$8&gt;0,$M$3-F703+$D$8,G702&lt;F702,G703*calcs!$H$3)</f>
        <v/>
      </c>
      <c r="F703" s="29" t="str" cm="1">
        <f t="array" ref="F703">_xlfn.IFS(F702="","",G702=0,"",G702&lt;1,"",G702&lt;F702,G702,AND(G702&gt;0,$D$8&gt;0),$D$8+($M$3-(G702*calcs!$H$3)),G702&gt;0,$M$3-(G702*calcs!$H$3))</f>
        <v/>
      </c>
      <c r="G703" s="29" t="str" cm="1">
        <f t="array" ref="G703">_xlfn.IFS(F703="","",G702-F703&lt;1,0,ISBLANK(F703)=TRUE,"",G702-F703&gt;1,G702-F703)</f>
        <v/>
      </c>
      <c r="H703" s="33" t="str">
        <f t="shared" si="11"/>
        <v/>
      </c>
      <c r="I703" s="2" t="str" cm="1">
        <f t="array" ref="I703">_xlfn.IFS(OR(D703="",E703="",F703=""),"",MOD(D703,12)&lt;&gt;0,"",MOD(D703,12)=0,"Year End"&amp;" "&amp;D703/12)</f>
        <v/>
      </c>
      <c r="V703">
        <v>692</v>
      </c>
    </row>
    <row r="704" spans="4:22">
      <c r="D704" s="30" t="str">
        <f>IF(V704&lt;=calcs!$F$4,'Loan Calculator'!V704,"")</f>
        <v/>
      </c>
      <c r="E704" s="27" t="str" cm="1">
        <f t="array" ref="E704">_xlfn.IFS(F704="","",G703&lt;F703,G703*calcs!$H$3,$D$8&lt;=0,$M$3-F704,$D$8&gt;0,$M$3-F704+$D$8,G703&lt;F703,G704*calcs!$H$3)</f>
        <v/>
      </c>
      <c r="F704" s="27" t="str" cm="1">
        <f t="array" ref="F704">_xlfn.IFS(F703="","",G703=0,"",G703&lt;1,"",G703&lt;F703,G703,AND(G703&gt;0,$D$8&gt;0),$D$8+($M$3-(G703*calcs!$H$3)),G703&gt;0,$M$3-(G703*calcs!$H$3))</f>
        <v/>
      </c>
      <c r="G704" s="27" t="str" cm="1">
        <f t="array" ref="G704">_xlfn.IFS(F704="","",G703-F704&lt;1,0,ISBLANK(F704)=TRUE,"",G703-F704&gt;1,G703-F704)</f>
        <v/>
      </c>
      <c r="H704" s="31" t="str">
        <f t="shared" si="11"/>
        <v/>
      </c>
      <c r="I704" s="2" t="str" cm="1">
        <f t="array" ref="I704">_xlfn.IFS(OR(D704="",E704="",F704=""),"",MOD(D704,12)&lt;&gt;0,"",MOD(D704,12)=0,"Year End"&amp;" "&amp;D704/12)</f>
        <v/>
      </c>
      <c r="V704">
        <v>693</v>
      </c>
    </row>
    <row r="705" spans="4:22">
      <c r="D705" s="32" t="str">
        <f>IF(V705&lt;=calcs!$F$4,'Loan Calculator'!V705,"")</f>
        <v/>
      </c>
      <c r="E705" s="29" t="str" cm="1">
        <f t="array" ref="E705">_xlfn.IFS(F705="","",G704&lt;F704,G704*calcs!$H$3,$D$8&lt;=0,$M$3-F705,$D$8&gt;0,$M$3-F705+$D$8,G704&lt;F704,G705*calcs!$H$3)</f>
        <v/>
      </c>
      <c r="F705" s="29" t="str" cm="1">
        <f t="array" ref="F705">_xlfn.IFS(F704="","",G704=0,"",G704&lt;1,"",G704&lt;F704,G704,AND(G704&gt;0,$D$8&gt;0),$D$8+($M$3-(G704*calcs!$H$3)),G704&gt;0,$M$3-(G704*calcs!$H$3))</f>
        <v/>
      </c>
      <c r="G705" s="29" t="str" cm="1">
        <f t="array" ref="G705">_xlfn.IFS(F705="","",G704-F705&lt;1,0,ISBLANK(F705)=TRUE,"",G704-F705&gt;1,G704-F705)</f>
        <v/>
      </c>
      <c r="H705" s="33" t="str">
        <f t="shared" si="11"/>
        <v/>
      </c>
      <c r="I705" s="2" t="str" cm="1">
        <f t="array" ref="I705">_xlfn.IFS(OR(D705="",E705="",F705=""),"",MOD(D705,12)&lt;&gt;0,"",MOD(D705,12)=0,"Year End"&amp;" "&amp;D705/12)</f>
        <v/>
      </c>
      <c r="V705">
        <v>694</v>
      </c>
    </row>
    <row r="706" spans="4:22">
      <c r="D706" s="30" t="str">
        <f>IF(V706&lt;=calcs!$F$4,'Loan Calculator'!V706,"")</f>
        <v/>
      </c>
      <c r="E706" s="27" t="str" cm="1">
        <f t="array" ref="E706">_xlfn.IFS(F706="","",G705&lt;F705,G705*calcs!$H$3,$D$8&lt;=0,$M$3-F706,$D$8&gt;0,$M$3-F706+$D$8,G705&lt;F705,G706*calcs!$H$3)</f>
        <v/>
      </c>
      <c r="F706" s="27" t="str" cm="1">
        <f t="array" ref="F706">_xlfn.IFS(F705="","",G705=0,"",G705&lt;1,"",G705&lt;F705,G705,AND(G705&gt;0,$D$8&gt;0),$D$8+($M$3-(G705*calcs!$H$3)),G705&gt;0,$M$3-(G705*calcs!$H$3))</f>
        <v/>
      </c>
      <c r="G706" s="27" t="str" cm="1">
        <f t="array" ref="G706">_xlfn.IFS(F706="","",G705-F706&lt;1,0,ISBLANK(F706)=TRUE,"",G705-F706&gt;1,G705-F706)</f>
        <v/>
      </c>
      <c r="H706" s="31" t="str">
        <f t="shared" si="11"/>
        <v/>
      </c>
      <c r="I706" s="2" t="str" cm="1">
        <f t="array" ref="I706">_xlfn.IFS(OR(D706="",E706="",F706=""),"",MOD(D706,12)&lt;&gt;0,"",MOD(D706,12)=0,"Year End"&amp;" "&amp;D706/12)</f>
        <v/>
      </c>
      <c r="V706">
        <v>695</v>
      </c>
    </row>
    <row r="707" spans="4:22">
      <c r="D707" s="32" t="str">
        <f>IF(V707&lt;=calcs!$F$4,'Loan Calculator'!V707,"")</f>
        <v/>
      </c>
      <c r="E707" s="29" t="str" cm="1">
        <f t="array" ref="E707">_xlfn.IFS(F707="","",G706&lt;F706,G706*calcs!$H$3,$D$8&lt;=0,$M$3-F707,$D$8&gt;0,$M$3-F707+$D$8,G706&lt;F706,G707*calcs!$H$3)</f>
        <v/>
      </c>
      <c r="F707" s="29" t="str" cm="1">
        <f t="array" ref="F707">_xlfn.IFS(F706="","",G706=0,"",G706&lt;1,"",G706&lt;F706,G706,AND(G706&gt;0,$D$8&gt;0),$D$8+($M$3-(G706*calcs!$H$3)),G706&gt;0,$M$3-(G706*calcs!$H$3))</f>
        <v/>
      </c>
      <c r="G707" s="29" t="str" cm="1">
        <f t="array" ref="G707">_xlfn.IFS(F707="","",G706-F707&lt;1,0,ISBLANK(F707)=TRUE,"",G706-F707&gt;1,G706-F707)</f>
        <v/>
      </c>
      <c r="H707" s="33" t="str">
        <f t="shared" si="11"/>
        <v/>
      </c>
      <c r="I707" s="2" t="str" cm="1">
        <f t="array" ref="I707">_xlfn.IFS(OR(D707="",E707="",F707=""),"",MOD(D707,12)&lt;&gt;0,"",MOD(D707,12)=0,"Year End"&amp;" "&amp;D707/12)</f>
        <v/>
      </c>
      <c r="V707">
        <v>696</v>
      </c>
    </row>
    <row r="708" spans="4:22">
      <c r="D708" s="30" t="str">
        <f>IF(V708&lt;=calcs!$F$4,'Loan Calculator'!V708,"")</f>
        <v/>
      </c>
      <c r="E708" s="27" t="str" cm="1">
        <f t="array" ref="E708">_xlfn.IFS(F708="","",G707&lt;F707,G707*calcs!$H$3,$D$8&lt;=0,$M$3-F708,$D$8&gt;0,$M$3-F708+$D$8,G707&lt;F707,G708*calcs!$H$3)</f>
        <v/>
      </c>
      <c r="F708" s="27" t="str" cm="1">
        <f t="array" ref="F708">_xlfn.IFS(F707="","",G707=0,"",G707&lt;1,"",G707&lt;F707,G707,AND(G707&gt;0,$D$8&gt;0),$D$8+($M$3-(G707*calcs!$H$3)),G707&gt;0,$M$3-(G707*calcs!$H$3))</f>
        <v/>
      </c>
      <c r="G708" s="27" t="str" cm="1">
        <f t="array" ref="G708">_xlfn.IFS(F708="","",G707-F708&lt;1,0,ISBLANK(F708)=TRUE,"",G707-F708&gt;1,G707-F708)</f>
        <v/>
      </c>
      <c r="H708" s="31" t="str">
        <f t="shared" si="11"/>
        <v/>
      </c>
      <c r="I708" s="2" t="str" cm="1">
        <f t="array" ref="I708">_xlfn.IFS(OR(D708="",E708="",F708=""),"",MOD(D708,12)&lt;&gt;0,"",MOD(D708,12)=0,"Year End"&amp;" "&amp;D708/12)</f>
        <v/>
      </c>
      <c r="V708">
        <v>697</v>
      </c>
    </row>
    <row r="709" spans="4:22">
      <c r="D709" s="32" t="str">
        <f>IF(V709&lt;=calcs!$F$4,'Loan Calculator'!V709,"")</f>
        <v/>
      </c>
      <c r="E709" s="29" t="str" cm="1">
        <f t="array" ref="E709">_xlfn.IFS(F709="","",G708&lt;F708,G708*calcs!$H$3,$D$8&lt;=0,$M$3-F709,$D$8&gt;0,$M$3-F709+$D$8,G708&lt;F708,G709*calcs!$H$3)</f>
        <v/>
      </c>
      <c r="F709" s="29" t="str" cm="1">
        <f t="array" ref="F709">_xlfn.IFS(F708="","",G708=0,"",G708&lt;1,"",G708&lt;F708,G708,AND(G708&gt;0,$D$8&gt;0),$D$8+($M$3-(G708*calcs!$H$3)),G708&gt;0,$M$3-(G708*calcs!$H$3))</f>
        <v/>
      </c>
      <c r="G709" s="29" t="str" cm="1">
        <f t="array" ref="G709">_xlfn.IFS(F709="","",G708-F709&lt;1,0,ISBLANK(F709)=TRUE,"",G708-F709&gt;1,G708-F709)</f>
        <v/>
      </c>
      <c r="H709" s="33" t="str">
        <f t="shared" si="11"/>
        <v/>
      </c>
      <c r="I709" s="2" t="str" cm="1">
        <f t="array" ref="I709">_xlfn.IFS(OR(D709="",E709="",F709=""),"",MOD(D709,12)&lt;&gt;0,"",MOD(D709,12)=0,"Year End"&amp;" "&amp;D709/12)</f>
        <v/>
      </c>
      <c r="V709">
        <v>698</v>
      </c>
    </row>
    <row r="710" spans="4:22">
      <c r="D710" s="30" t="str">
        <f>IF(V710&lt;=calcs!$F$4,'Loan Calculator'!V710,"")</f>
        <v/>
      </c>
      <c r="E710" s="27" t="str" cm="1">
        <f t="array" ref="E710">_xlfn.IFS(F710="","",G709&lt;F709,G709*calcs!$H$3,$D$8&lt;=0,$M$3-F710,$D$8&gt;0,$M$3-F710+$D$8,G709&lt;F709,G710*calcs!$H$3)</f>
        <v/>
      </c>
      <c r="F710" s="27" t="str" cm="1">
        <f t="array" ref="F710">_xlfn.IFS(F709="","",G709=0,"",G709&lt;1,"",G709&lt;F709,G709,AND(G709&gt;0,$D$8&gt;0),$D$8+($M$3-(G709*calcs!$H$3)),G709&gt;0,$M$3-(G709*calcs!$H$3))</f>
        <v/>
      </c>
      <c r="G710" s="27" t="str" cm="1">
        <f t="array" ref="G710">_xlfn.IFS(F710="","",G709-F710&lt;1,0,ISBLANK(F710)=TRUE,"",G709-F710&gt;1,G709-F710)</f>
        <v/>
      </c>
      <c r="H710" s="31" t="str">
        <f t="shared" si="11"/>
        <v/>
      </c>
      <c r="I710" s="2" t="str" cm="1">
        <f t="array" ref="I710">_xlfn.IFS(OR(D710="",E710="",F710=""),"",MOD(D710,12)&lt;&gt;0,"",MOD(D710,12)=0,"Year End"&amp;" "&amp;D710/12)</f>
        <v/>
      </c>
      <c r="V710">
        <v>699</v>
      </c>
    </row>
    <row r="711" spans="4:22">
      <c r="D711" s="32" t="str">
        <f>IF(V711&lt;=calcs!$F$4,'Loan Calculator'!V711,"")</f>
        <v/>
      </c>
      <c r="E711" s="29" t="str" cm="1">
        <f t="array" ref="E711">_xlfn.IFS(F711="","",G710&lt;F710,G710*calcs!$H$3,$D$8&lt;=0,$M$3-F711,$D$8&gt;0,$M$3-F711+$D$8,G710&lt;F710,G711*calcs!$H$3)</f>
        <v/>
      </c>
      <c r="F711" s="29" t="str" cm="1">
        <f t="array" ref="F711">_xlfn.IFS(F710="","",G710=0,"",G710&lt;1,"",G710&lt;F710,G710,AND(G710&gt;0,$D$8&gt;0),$D$8+($M$3-(G710*calcs!$H$3)),G710&gt;0,$M$3-(G710*calcs!$H$3))</f>
        <v/>
      </c>
      <c r="G711" s="29" t="str" cm="1">
        <f t="array" ref="G711">_xlfn.IFS(F711="","",G710-F711&lt;1,0,ISBLANK(F711)=TRUE,"",G710-F711&gt;1,G710-F711)</f>
        <v/>
      </c>
      <c r="H711" s="33" t="str">
        <f t="shared" si="11"/>
        <v/>
      </c>
      <c r="I711" s="2" t="str" cm="1">
        <f t="array" ref="I711">_xlfn.IFS(OR(D711="",E711="",F711=""),"",MOD(D711,12)&lt;&gt;0,"",MOD(D711,12)=0,"Year End"&amp;" "&amp;D711/12)</f>
        <v/>
      </c>
      <c r="V711">
        <v>700</v>
      </c>
    </row>
    <row r="712" spans="4:22">
      <c r="D712" s="30" t="str">
        <f>IF(V712&lt;=calcs!$F$4,'Loan Calculator'!V712,"")</f>
        <v/>
      </c>
      <c r="E712" s="27" t="str" cm="1">
        <f t="array" ref="E712">_xlfn.IFS(F712="","",G711&lt;F711,G711*calcs!$H$3,$D$8&lt;=0,$M$3-F712,$D$8&gt;0,$M$3-F712+$D$8,G711&lt;F711,G712*calcs!$H$3)</f>
        <v/>
      </c>
      <c r="F712" s="27" t="str" cm="1">
        <f t="array" ref="F712">_xlfn.IFS(F711="","",G711=0,"",G711&lt;1,"",G711&lt;F711,G711,AND(G711&gt;0,$D$8&gt;0),$D$8+($M$3-(G711*calcs!$H$3)),G711&gt;0,$M$3-(G711*calcs!$H$3))</f>
        <v/>
      </c>
      <c r="G712" s="27" t="str" cm="1">
        <f t="array" ref="G712">_xlfn.IFS(F712="","",G711-F712&lt;1,0,ISBLANK(F712)=TRUE,"",G711-F712&gt;1,G711-F712)</f>
        <v/>
      </c>
      <c r="H712" s="31" t="str">
        <f t="shared" si="11"/>
        <v/>
      </c>
      <c r="I712" s="2" t="str" cm="1">
        <f t="array" ref="I712">_xlfn.IFS(OR(D712="",E712="",F712=""),"",MOD(D712,12)&lt;&gt;0,"",MOD(D712,12)=0,"Year End"&amp;" "&amp;D712/12)</f>
        <v/>
      </c>
      <c r="V712">
        <v>701</v>
      </c>
    </row>
    <row r="713" spans="4:22">
      <c r="D713" s="32" t="str">
        <f>IF(V713&lt;=calcs!$F$4,'Loan Calculator'!V713,"")</f>
        <v/>
      </c>
      <c r="E713" s="29" t="str" cm="1">
        <f t="array" ref="E713">_xlfn.IFS(F713="","",G712&lt;F712,G712*calcs!$H$3,$D$8&lt;=0,$M$3-F713,$D$8&gt;0,$M$3-F713+$D$8,G712&lt;F712,G713*calcs!$H$3)</f>
        <v/>
      </c>
      <c r="F713" s="29" t="str" cm="1">
        <f t="array" ref="F713">_xlfn.IFS(F712="","",G712=0,"",G712&lt;1,"",G712&lt;F712,G712,AND(G712&gt;0,$D$8&gt;0),$D$8+($M$3-(G712*calcs!$H$3)),G712&gt;0,$M$3-(G712*calcs!$H$3))</f>
        <v/>
      </c>
      <c r="G713" s="29" t="str" cm="1">
        <f t="array" ref="G713">_xlfn.IFS(F713="","",G712-F713&lt;1,0,ISBLANK(F713)=TRUE,"",G712-F713&gt;1,G712-F713)</f>
        <v/>
      </c>
      <c r="H713" s="33" t="str">
        <f t="shared" si="11"/>
        <v/>
      </c>
      <c r="I713" s="2" t="str" cm="1">
        <f t="array" ref="I713">_xlfn.IFS(OR(D713="",E713="",F713=""),"",MOD(D713,12)&lt;&gt;0,"",MOD(D713,12)=0,"Year End"&amp;" "&amp;D713/12)</f>
        <v/>
      </c>
      <c r="V713">
        <v>702</v>
      </c>
    </row>
    <row r="714" spans="4:22">
      <c r="D714" s="30" t="str">
        <f>IF(V714&lt;=calcs!$F$4,'Loan Calculator'!V714,"")</f>
        <v/>
      </c>
      <c r="E714" s="27" t="str" cm="1">
        <f t="array" ref="E714">_xlfn.IFS(F714="","",G713&lt;F713,G713*calcs!$H$3,$D$8&lt;=0,$M$3-F714,$D$8&gt;0,$M$3-F714+$D$8,G713&lt;F713,G714*calcs!$H$3)</f>
        <v/>
      </c>
      <c r="F714" s="27" t="str" cm="1">
        <f t="array" ref="F714">_xlfn.IFS(F713="","",G713=0,"",G713&lt;1,"",G713&lt;F713,G713,AND(G713&gt;0,$D$8&gt;0),$D$8+($M$3-(G713*calcs!$H$3)),G713&gt;0,$M$3-(G713*calcs!$H$3))</f>
        <v/>
      </c>
      <c r="G714" s="27" t="str" cm="1">
        <f t="array" ref="G714">_xlfn.IFS(F714="","",G713-F714&lt;1,0,ISBLANK(F714)=TRUE,"",G713-F714&gt;1,G713-F714)</f>
        <v/>
      </c>
      <c r="H714" s="31" t="str">
        <f t="shared" si="11"/>
        <v/>
      </c>
      <c r="I714" s="2" t="str" cm="1">
        <f t="array" ref="I714">_xlfn.IFS(OR(D714="",E714="",F714=""),"",MOD(D714,12)&lt;&gt;0,"",MOD(D714,12)=0,"Year End"&amp;" "&amp;D714/12)</f>
        <v/>
      </c>
      <c r="V714">
        <v>703</v>
      </c>
    </row>
    <row r="715" spans="4:22">
      <c r="D715" s="32" t="str">
        <f>IF(V715&lt;=calcs!$F$4,'Loan Calculator'!V715,"")</f>
        <v/>
      </c>
      <c r="E715" s="29" t="str" cm="1">
        <f t="array" ref="E715">_xlfn.IFS(F715="","",G714&lt;F714,G714*calcs!$H$3,$D$8&lt;=0,$M$3-F715,$D$8&gt;0,$M$3-F715+$D$8,G714&lt;F714,G715*calcs!$H$3)</f>
        <v/>
      </c>
      <c r="F715" s="29" t="str" cm="1">
        <f t="array" ref="F715">_xlfn.IFS(F714="","",G714=0,"",G714&lt;1,"",G714&lt;F714,G714,AND(G714&gt;0,$D$8&gt;0),$D$8+($M$3-(G714*calcs!$H$3)),G714&gt;0,$M$3-(G714*calcs!$H$3))</f>
        <v/>
      </c>
      <c r="G715" s="29" t="str" cm="1">
        <f t="array" ref="G715">_xlfn.IFS(F715="","",G714-F715&lt;1,0,ISBLANK(F715)=TRUE,"",G714-F715&gt;1,G714-F715)</f>
        <v/>
      </c>
      <c r="H715" s="33" t="str">
        <f t="shared" si="11"/>
        <v/>
      </c>
      <c r="I715" s="2" t="str" cm="1">
        <f t="array" ref="I715">_xlfn.IFS(OR(D715="",E715="",F715=""),"",MOD(D715,12)&lt;&gt;0,"",MOD(D715,12)=0,"Year End"&amp;" "&amp;D715/12)</f>
        <v/>
      </c>
      <c r="V715">
        <v>704</v>
      </c>
    </row>
    <row r="716" spans="4:22">
      <c r="D716" s="30" t="str">
        <f>IF(V716&lt;=calcs!$F$4,'Loan Calculator'!V716,"")</f>
        <v/>
      </c>
      <c r="E716" s="27" t="str" cm="1">
        <f t="array" ref="E716">_xlfn.IFS(F716="","",G715&lt;F715,G715*calcs!$H$3,$D$8&lt;=0,$M$3-F716,$D$8&gt;0,$M$3-F716+$D$8,G715&lt;F715,G716*calcs!$H$3)</f>
        <v/>
      </c>
      <c r="F716" s="27" t="str" cm="1">
        <f t="array" ref="F716">_xlfn.IFS(F715="","",G715=0,"",G715&lt;1,"",G715&lt;F715,G715,AND(G715&gt;0,$D$8&gt;0),$D$8+($M$3-(G715*calcs!$H$3)),G715&gt;0,$M$3-(G715*calcs!$H$3))</f>
        <v/>
      </c>
      <c r="G716" s="27" t="str" cm="1">
        <f t="array" ref="G716">_xlfn.IFS(F716="","",G715-F716&lt;1,0,ISBLANK(F716)=TRUE,"",G715-F716&gt;1,G715-F716)</f>
        <v/>
      </c>
      <c r="H716" s="31" t="str">
        <f t="shared" si="11"/>
        <v/>
      </c>
      <c r="I716" s="2" t="str" cm="1">
        <f t="array" ref="I716">_xlfn.IFS(OR(D716="",E716="",F716=""),"",MOD(D716,12)&lt;&gt;0,"",MOD(D716,12)=0,"Year End"&amp;" "&amp;D716/12)</f>
        <v/>
      </c>
      <c r="V716">
        <v>705</v>
      </c>
    </row>
    <row r="717" spans="4:22">
      <c r="D717" s="32" t="str">
        <f>IF(V717&lt;=calcs!$F$4,'Loan Calculator'!V717,"")</f>
        <v/>
      </c>
      <c r="E717" s="29" t="str" cm="1">
        <f t="array" ref="E717">_xlfn.IFS(F717="","",G716&lt;F716,G716*calcs!$H$3,$D$8&lt;=0,$M$3-F717,$D$8&gt;0,$M$3-F717+$D$8,G716&lt;F716,G717*calcs!$H$3)</f>
        <v/>
      </c>
      <c r="F717" s="29" t="str" cm="1">
        <f t="array" ref="F717">_xlfn.IFS(F716="","",G716=0,"",G716&lt;1,"",G716&lt;F716,G716,AND(G716&gt;0,$D$8&gt;0),$D$8+($M$3-(G716*calcs!$H$3)),G716&gt;0,$M$3-(G716*calcs!$H$3))</f>
        <v/>
      </c>
      <c r="G717" s="29" t="str" cm="1">
        <f t="array" ref="G717">_xlfn.IFS(F717="","",G716-F717&lt;1,0,ISBLANK(F717)=TRUE,"",G716-F717&gt;1,G716-F717)</f>
        <v/>
      </c>
      <c r="H717" s="33" t="str">
        <f t="shared" si="11"/>
        <v/>
      </c>
      <c r="I717" s="2" t="str" cm="1">
        <f t="array" ref="I717">_xlfn.IFS(OR(D717="",E717="",F717=""),"",MOD(D717,12)&lt;&gt;0,"",MOD(D717,12)=0,"Year End"&amp;" "&amp;D717/12)</f>
        <v/>
      </c>
      <c r="V717">
        <v>706</v>
      </c>
    </row>
    <row r="718" spans="4:22">
      <c r="D718" s="30" t="str">
        <f>IF(V718&lt;=calcs!$F$4,'Loan Calculator'!V718,"")</f>
        <v/>
      </c>
      <c r="E718" s="27" t="str" cm="1">
        <f t="array" ref="E718">_xlfn.IFS(F718="","",G717&lt;F717,G717*calcs!$H$3,$D$8&lt;=0,$M$3-F718,$D$8&gt;0,$M$3-F718+$D$8,G717&lt;F717,G718*calcs!$H$3)</f>
        <v/>
      </c>
      <c r="F718" s="27" t="str" cm="1">
        <f t="array" ref="F718">_xlfn.IFS(F717="","",G717=0,"",G717&lt;1,"",G717&lt;F717,G717,AND(G717&gt;0,$D$8&gt;0),$D$8+($M$3-(G717*calcs!$H$3)),G717&gt;0,$M$3-(G717*calcs!$H$3))</f>
        <v/>
      </c>
      <c r="G718" s="27" t="str" cm="1">
        <f t="array" ref="G718">_xlfn.IFS(F718="","",G717-F718&lt;1,0,ISBLANK(F718)=TRUE,"",G717-F718&gt;1,G717-F718)</f>
        <v/>
      </c>
      <c r="H718" s="31" t="str">
        <f t="shared" ref="H718:H781" si="12">IF(OR(H717=0,H717="",E718="",F718=""),"",H717+E718+F718)</f>
        <v/>
      </c>
      <c r="I718" s="2" t="str" cm="1">
        <f t="array" ref="I718">_xlfn.IFS(OR(D718="",E718="",F718=""),"",MOD(D718,12)&lt;&gt;0,"",MOD(D718,12)=0,"Year End"&amp;" "&amp;D718/12)</f>
        <v/>
      </c>
      <c r="V718">
        <v>707</v>
      </c>
    </row>
    <row r="719" spans="4:22">
      <c r="D719" s="32" t="str">
        <f>IF(V719&lt;=calcs!$F$4,'Loan Calculator'!V719,"")</f>
        <v/>
      </c>
      <c r="E719" s="29" t="str" cm="1">
        <f t="array" ref="E719">_xlfn.IFS(F719="","",G718&lt;F718,G718*calcs!$H$3,$D$8&lt;=0,$M$3-F719,$D$8&gt;0,$M$3-F719+$D$8,G718&lt;F718,G719*calcs!$H$3)</f>
        <v/>
      </c>
      <c r="F719" s="29" t="str" cm="1">
        <f t="array" ref="F719">_xlfn.IFS(F718="","",G718=0,"",G718&lt;1,"",G718&lt;F718,G718,AND(G718&gt;0,$D$8&gt;0),$D$8+($M$3-(G718*calcs!$H$3)),G718&gt;0,$M$3-(G718*calcs!$H$3))</f>
        <v/>
      </c>
      <c r="G719" s="29" t="str" cm="1">
        <f t="array" ref="G719">_xlfn.IFS(F719="","",G718-F719&lt;1,0,ISBLANK(F719)=TRUE,"",G718-F719&gt;1,G718-F719)</f>
        <v/>
      </c>
      <c r="H719" s="33" t="str">
        <f t="shared" si="12"/>
        <v/>
      </c>
      <c r="I719" s="2" t="str" cm="1">
        <f t="array" ref="I719">_xlfn.IFS(OR(D719="",E719="",F719=""),"",MOD(D719,12)&lt;&gt;0,"",MOD(D719,12)=0,"Year End"&amp;" "&amp;D719/12)</f>
        <v/>
      </c>
      <c r="V719">
        <v>708</v>
      </c>
    </row>
    <row r="720" spans="4:22">
      <c r="D720" s="30" t="str">
        <f>IF(V720&lt;=calcs!$F$4,'Loan Calculator'!V720,"")</f>
        <v/>
      </c>
      <c r="E720" s="27" t="str" cm="1">
        <f t="array" ref="E720">_xlfn.IFS(F720="","",G719&lt;F719,G719*calcs!$H$3,$D$8&lt;=0,$M$3-F720,$D$8&gt;0,$M$3-F720+$D$8,G719&lt;F719,G720*calcs!$H$3)</f>
        <v/>
      </c>
      <c r="F720" s="27" t="str" cm="1">
        <f t="array" ref="F720">_xlfn.IFS(F719="","",G719=0,"",G719&lt;1,"",G719&lt;F719,G719,AND(G719&gt;0,$D$8&gt;0),$D$8+($M$3-(G719*calcs!$H$3)),G719&gt;0,$M$3-(G719*calcs!$H$3))</f>
        <v/>
      </c>
      <c r="G720" s="27" t="str" cm="1">
        <f t="array" ref="G720">_xlfn.IFS(F720="","",G719-F720&lt;1,0,ISBLANK(F720)=TRUE,"",G719-F720&gt;1,G719-F720)</f>
        <v/>
      </c>
      <c r="H720" s="31" t="str">
        <f t="shared" si="12"/>
        <v/>
      </c>
      <c r="I720" s="2" t="str" cm="1">
        <f t="array" ref="I720">_xlfn.IFS(OR(D720="",E720="",F720=""),"",MOD(D720,12)&lt;&gt;0,"",MOD(D720,12)=0,"Year End"&amp;" "&amp;D720/12)</f>
        <v/>
      </c>
      <c r="V720">
        <v>709</v>
      </c>
    </row>
    <row r="721" spans="4:22">
      <c r="D721" s="32" t="str">
        <f>IF(V721&lt;=calcs!$F$4,'Loan Calculator'!V721,"")</f>
        <v/>
      </c>
      <c r="E721" s="29" t="str" cm="1">
        <f t="array" ref="E721">_xlfn.IFS(F721="","",G720&lt;F720,G720*calcs!$H$3,$D$8&lt;=0,$M$3-F721,$D$8&gt;0,$M$3-F721+$D$8,G720&lt;F720,G721*calcs!$H$3)</f>
        <v/>
      </c>
      <c r="F721" s="29" t="str" cm="1">
        <f t="array" ref="F721">_xlfn.IFS(F720="","",G720=0,"",G720&lt;1,"",G720&lt;F720,G720,AND(G720&gt;0,$D$8&gt;0),$D$8+($M$3-(G720*calcs!$H$3)),G720&gt;0,$M$3-(G720*calcs!$H$3))</f>
        <v/>
      </c>
      <c r="G721" s="29" t="str" cm="1">
        <f t="array" ref="G721">_xlfn.IFS(F721="","",G720-F721&lt;1,0,ISBLANK(F721)=TRUE,"",G720-F721&gt;1,G720-F721)</f>
        <v/>
      </c>
      <c r="H721" s="33" t="str">
        <f t="shared" si="12"/>
        <v/>
      </c>
      <c r="I721" s="2" t="str" cm="1">
        <f t="array" ref="I721">_xlfn.IFS(OR(D721="",E721="",F721=""),"",MOD(D721,12)&lt;&gt;0,"",MOD(D721,12)=0,"Year End"&amp;" "&amp;D721/12)</f>
        <v/>
      </c>
      <c r="V721">
        <v>710</v>
      </c>
    </row>
    <row r="722" spans="4:22">
      <c r="D722" s="30" t="str">
        <f>IF(V722&lt;=calcs!$F$4,'Loan Calculator'!V722,"")</f>
        <v/>
      </c>
      <c r="E722" s="27" t="str" cm="1">
        <f t="array" ref="E722">_xlfn.IFS(F722="","",G721&lt;F721,G721*calcs!$H$3,$D$8&lt;=0,$M$3-F722,$D$8&gt;0,$M$3-F722+$D$8,G721&lt;F721,G722*calcs!$H$3)</f>
        <v/>
      </c>
      <c r="F722" s="27" t="str" cm="1">
        <f t="array" ref="F722">_xlfn.IFS(F721="","",G721=0,"",G721&lt;1,"",G721&lt;F721,G721,AND(G721&gt;0,$D$8&gt;0),$D$8+($M$3-(G721*calcs!$H$3)),G721&gt;0,$M$3-(G721*calcs!$H$3))</f>
        <v/>
      </c>
      <c r="G722" s="27" t="str" cm="1">
        <f t="array" ref="G722">_xlfn.IFS(F722="","",G721-F722&lt;1,0,ISBLANK(F722)=TRUE,"",G721-F722&gt;1,G721-F722)</f>
        <v/>
      </c>
      <c r="H722" s="31" t="str">
        <f t="shared" si="12"/>
        <v/>
      </c>
      <c r="I722" s="2" t="str" cm="1">
        <f t="array" ref="I722">_xlfn.IFS(OR(D722="",E722="",F722=""),"",MOD(D722,12)&lt;&gt;0,"",MOD(D722,12)=0,"Year End"&amp;" "&amp;D722/12)</f>
        <v/>
      </c>
      <c r="V722">
        <v>711</v>
      </c>
    </row>
    <row r="723" spans="4:22">
      <c r="D723" s="32" t="str">
        <f>IF(V723&lt;=calcs!$F$4,'Loan Calculator'!V723,"")</f>
        <v/>
      </c>
      <c r="E723" s="29" t="str" cm="1">
        <f t="array" ref="E723">_xlfn.IFS(F723="","",G722&lt;F722,G722*calcs!$H$3,$D$8&lt;=0,$M$3-F723,$D$8&gt;0,$M$3-F723+$D$8,G722&lt;F722,G723*calcs!$H$3)</f>
        <v/>
      </c>
      <c r="F723" s="29" t="str" cm="1">
        <f t="array" ref="F723">_xlfn.IFS(F722="","",G722=0,"",G722&lt;1,"",G722&lt;F722,G722,AND(G722&gt;0,$D$8&gt;0),$D$8+($M$3-(G722*calcs!$H$3)),G722&gt;0,$M$3-(G722*calcs!$H$3))</f>
        <v/>
      </c>
      <c r="G723" s="29" t="str" cm="1">
        <f t="array" ref="G723">_xlfn.IFS(F723="","",G722-F723&lt;1,0,ISBLANK(F723)=TRUE,"",G722-F723&gt;1,G722-F723)</f>
        <v/>
      </c>
      <c r="H723" s="33" t="str">
        <f t="shared" si="12"/>
        <v/>
      </c>
      <c r="I723" s="2" t="str" cm="1">
        <f t="array" ref="I723">_xlfn.IFS(OR(D723="",E723="",F723=""),"",MOD(D723,12)&lt;&gt;0,"",MOD(D723,12)=0,"Year End"&amp;" "&amp;D723/12)</f>
        <v/>
      </c>
      <c r="V723">
        <v>712</v>
      </c>
    </row>
    <row r="724" spans="4:22">
      <c r="D724" s="30" t="str">
        <f>IF(V724&lt;=calcs!$F$4,'Loan Calculator'!V724,"")</f>
        <v/>
      </c>
      <c r="E724" s="27" t="str" cm="1">
        <f t="array" ref="E724">_xlfn.IFS(F724="","",G723&lt;F723,G723*calcs!$H$3,$D$8&lt;=0,$M$3-F724,$D$8&gt;0,$M$3-F724+$D$8,G723&lt;F723,G724*calcs!$H$3)</f>
        <v/>
      </c>
      <c r="F724" s="27" t="str" cm="1">
        <f t="array" ref="F724">_xlfn.IFS(F723="","",G723=0,"",G723&lt;1,"",G723&lt;F723,G723,AND(G723&gt;0,$D$8&gt;0),$D$8+($M$3-(G723*calcs!$H$3)),G723&gt;0,$M$3-(G723*calcs!$H$3))</f>
        <v/>
      </c>
      <c r="G724" s="27" t="str" cm="1">
        <f t="array" ref="G724">_xlfn.IFS(F724="","",G723-F724&lt;1,0,ISBLANK(F724)=TRUE,"",G723-F724&gt;1,G723-F724)</f>
        <v/>
      </c>
      <c r="H724" s="31" t="str">
        <f t="shared" si="12"/>
        <v/>
      </c>
      <c r="I724" s="2" t="str" cm="1">
        <f t="array" ref="I724">_xlfn.IFS(OR(D724="",E724="",F724=""),"",MOD(D724,12)&lt;&gt;0,"",MOD(D724,12)=0,"Year End"&amp;" "&amp;D724/12)</f>
        <v/>
      </c>
      <c r="V724">
        <v>713</v>
      </c>
    </row>
    <row r="725" spans="4:22">
      <c r="D725" s="32" t="str">
        <f>IF(V725&lt;=calcs!$F$4,'Loan Calculator'!V725,"")</f>
        <v/>
      </c>
      <c r="E725" s="29" t="str" cm="1">
        <f t="array" ref="E725">_xlfn.IFS(F725="","",G724&lt;F724,G724*calcs!$H$3,$D$8&lt;=0,$M$3-F725,$D$8&gt;0,$M$3-F725+$D$8,G724&lt;F724,G725*calcs!$H$3)</f>
        <v/>
      </c>
      <c r="F725" s="29" t="str" cm="1">
        <f t="array" ref="F725">_xlfn.IFS(F724="","",G724=0,"",G724&lt;1,"",G724&lt;F724,G724,AND(G724&gt;0,$D$8&gt;0),$D$8+($M$3-(G724*calcs!$H$3)),G724&gt;0,$M$3-(G724*calcs!$H$3))</f>
        <v/>
      </c>
      <c r="G725" s="29" t="str" cm="1">
        <f t="array" ref="G725">_xlfn.IFS(F725="","",G724-F725&lt;1,0,ISBLANK(F725)=TRUE,"",G724-F725&gt;1,G724-F725)</f>
        <v/>
      </c>
      <c r="H725" s="33" t="str">
        <f t="shared" si="12"/>
        <v/>
      </c>
      <c r="I725" s="2" t="str" cm="1">
        <f t="array" ref="I725">_xlfn.IFS(OR(D725="",E725="",F725=""),"",MOD(D725,12)&lt;&gt;0,"",MOD(D725,12)=0,"Year End"&amp;" "&amp;D725/12)</f>
        <v/>
      </c>
      <c r="V725">
        <v>714</v>
      </c>
    </row>
    <row r="726" spans="4:22">
      <c r="D726" s="30" t="str">
        <f>IF(V726&lt;=calcs!$F$4,'Loan Calculator'!V726,"")</f>
        <v/>
      </c>
      <c r="E726" s="27" t="str" cm="1">
        <f t="array" ref="E726">_xlfn.IFS(F726="","",G725&lt;F725,G725*calcs!$H$3,$D$8&lt;=0,$M$3-F726,$D$8&gt;0,$M$3-F726+$D$8,G725&lt;F725,G726*calcs!$H$3)</f>
        <v/>
      </c>
      <c r="F726" s="27" t="str" cm="1">
        <f t="array" ref="F726">_xlfn.IFS(F725="","",G725=0,"",G725&lt;1,"",G725&lt;F725,G725,AND(G725&gt;0,$D$8&gt;0),$D$8+($M$3-(G725*calcs!$H$3)),G725&gt;0,$M$3-(G725*calcs!$H$3))</f>
        <v/>
      </c>
      <c r="G726" s="27" t="str" cm="1">
        <f t="array" ref="G726">_xlfn.IFS(F726="","",G725-F726&lt;1,0,ISBLANK(F726)=TRUE,"",G725-F726&gt;1,G725-F726)</f>
        <v/>
      </c>
      <c r="H726" s="31" t="str">
        <f t="shared" si="12"/>
        <v/>
      </c>
      <c r="I726" s="2" t="str" cm="1">
        <f t="array" ref="I726">_xlfn.IFS(OR(D726="",E726="",F726=""),"",MOD(D726,12)&lt;&gt;0,"",MOD(D726,12)=0,"Year End"&amp;" "&amp;D726/12)</f>
        <v/>
      </c>
      <c r="V726">
        <v>715</v>
      </c>
    </row>
    <row r="727" spans="4:22">
      <c r="D727" s="32" t="str">
        <f>IF(V727&lt;=calcs!$F$4,'Loan Calculator'!V727,"")</f>
        <v/>
      </c>
      <c r="E727" s="29" t="str" cm="1">
        <f t="array" ref="E727">_xlfn.IFS(F727="","",G726&lt;F726,G726*calcs!$H$3,$D$8&lt;=0,$M$3-F727,$D$8&gt;0,$M$3-F727+$D$8,G726&lt;F726,G727*calcs!$H$3)</f>
        <v/>
      </c>
      <c r="F727" s="29" t="str" cm="1">
        <f t="array" ref="F727">_xlfn.IFS(F726="","",G726=0,"",G726&lt;1,"",G726&lt;F726,G726,AND(G726&gt;0,$D$8&gt;0),$D$8+($M$3-(G726*calcs!$H$3)),G726&gt;0,$M$3-(G726*calcs!$H$3))</f>
        <v/>
      </c>
      <c r="G727" s="29" t="str" cm="1">
        <f t="array" ref="G727">_xlfn.IFS(F727="","",G726-F727&lt;1,0,ISBLANK(F727)=TRUE,"",G726-F727&gt;1,G726-F727)</f>
        <v/>
      </c>
      <c r="H727" s="33" t="str">
        <f t="shared" si="12"/>
        <v/>
      </c>
      <c r="I727" s="2" t="str" cm="1">
        <f t="array" ref="I727">_xlfn.IFS(OR(D727="",E727="",F727=""),"",MOD(D727,12)&lt;&gt;0,"",MOD(D727,12)=0,"Year End"&amp;" "&amp;D727/12)</f>
        <v/>
      </c>
      <c r="V727">
        <v>716</v>
      </c>
    </row>
    <row r="728" spans="4:22">
      <c r="D728" s="30" t="str">
        <f>IF(V728&lt;=calcs!$F$4,'Loan Calculator'!V728,"")</f>
        <v/>
      </c>
      <c r="E728" s="27" t="str" cm="1">
        <f t="array" ref="E728">_xlfn.IFS(F728="","",G727&lt;F727,G727*calcs!$H$3,$D$8&lt;=0,$M$3-F728,$D$8&gt;0,$M$3-F728+$D$8,G727&lt;F727,G728*calcs!$H$3)</f>
        <v/>
      </c>
      <c r="F728" s="27" t="str" cm="1">
        <f t="array" ref="F728">_xlfn.IFS(F727="","",G727=0,"",G727&lt;1,"",G727&lt;F727,G727,AND(G727&gt;0,$D$8&gt;0),$D$8+($M$3-(G727*calcs!$H$3)),G727&gt;0,$M$3-(G727*calcs!$H$3))</f>
        <v/>
      </c>
      <c r="G728" s="27" t="str" cm="1">
        <f t="array" ref="G728">_xlfn.IFS(F728="","",G727-F728&lt;1,0,ISBLANK(F728)=TRUE,"",G727-F728&gt;1,G727-F728)</f>
        <v/>
      </c>
      <c r="H728" s="31" t="str">
        <f t="shared" si="12"/>
        <v/>
      </c>
      <c r="I728" s="2" t="str" cm="1">
        <f t="array" ref="I728">_xlfn.IFS(OR(D728="",E728="",F728=""),"",MOD(D728,12)&lt;&gt;0,"",MOD(D728,12)=0,"Year End"&amp;" "&amp;D728/12)</f>
        <v/>
      </c>
      <c r="V728">
        <v>717</v>
      </c>
    </row>
    <row r="729" spans="4:22">
      <c r="D729" s="32" t="str">
        <f>IF(V729&lt;=calcs!$F$4,'Loan Calculator'!V729,"")</f>
        <v/>
      </c>
      <c r="E729" s="29" t="str" cm="1">
        <f t="array" ref="E729">_xlfn.IFS(F729="","",G728&lt;F728,G728*calcs!$H$3,$D$8&lt;=0,$M$3-F729,$D$8&gt;0,$M$3-F729+$D$8,G728&lt;F728,G729*calcs!$H$3)</f>
        <v/>
      </c>
      <c r="F729" s="29" t="str" cm="1">
        <f t="array" ref="F729">_xlfn.IFS(F728="","",G728=0,"",G728&lt;1,"",G728&lt;F728,G728,AND(G728&gt;0,$D$8&gt;0),$D$8+($M$3-(G728*calcs!$H$3)),G728&gt;0,$M$3-(G728*calcs!$H$3))</f>
        <v/>
      </c>
      <c r="G729" s="29" t="str" cm="1">
        <f t="array" ref="G729">_xlfn.IFS(F729="","",G728-F729&lt;1,0,ISBLANK(F729)=TRUE,"",G728-F729&gt;1,G728-F729)</f>
        <v/>
      </c>
      <c r="H729" s="33" t="str">
        <f t="shared" si="12"/>
        <v/>
      </c>
      <c r="I729" s="2" t="str" cm="1">
        <f t="array" ref="I729">_xlfn.IFS(OR(D729="",E729="",F729=""),"",MOD(D729,12)&lt;&gt;0,"",MOD(D729,12)=0,"Year End"&amp;" "&amp;D729/12)</f>
        <v/>
      </c>
      <c r="V729">
        <v>718</v>
      </c>
    </row>
    <row r="730" spans="4:22">
      <c r="D730" s="30" t="str">
        <f>IF(V730&lt;=calcs!$F$4,'Loan Calculator'!V730,"")</f>
        <v/>
      </c>
      <c r="E730" s="27" t="str" cm="1">
        <f t="array" ref="E730">_xlfn.IFS(F730="","",G729&lt;F729,G729*calcs!$H$3,$D$8&lt;=0,$M$3-F730,$D$8&gt;0,$M$3-F730+$D$8,G729&lt;F729,G730*calcs!$H$3)</f>
        <v/>
      </c>
      <c r="F730" s="27" t="str" cm="1">
        <f t="array" ref="F730">_xlfn.IFS(F729="","",G729=0,"",G729&lt;1,"",G729&lt;F729,G729,AND(G729&gt;0,$D$8&gt;0),$D$8+($M$3-(G729*calcs!$H$3)),G729&gt;0,$M$3-(G729*calcs!$H$3))</f>
        <v/>
      </c>
      <c r="G730" s="27" t="str" cm="1">
        <f t="array" ref="G730">_xlfn.IFS(F730="","",G729-F730&lt;1,0,ISBLANK(F730)=TRUE,"",G729-F730&gt;1,G729-F730)</f>
        <v/>
      </c>
      <c r="H730" s="31" t="str">
        <f t="shared" si="12"/>
        <v/>
      </c>
      <c r="I730" s="2" t="str" cm="1">
        <f t="array" ref="I730">_xlfn.IFS(OR(D730="",E730="",F730=""),"",MOD(D730,12)&lt;&gt;0,"",MOD(D730,12)=0,"Year End"&amp;" "&amp;D730/12)</f>
        <v/>
      </c>
      <c r="V730">
        <v>719</v>
      </c>
    </row>
    <row r="731" spans="4:22">
      <c r="D731" s="32" t="str">
        <f>IF(V731&lt;=calcs!$F$4,'Loan Calculator'!V731,"")</f>
        <v/>
      </c>
      <c r="E731" s="29" t="str" cm="1">
        <f t="array" ref="E731">_xlfn.IFS(F731="","",G730&lt;F730,G730*calcs!$H$3,$D$8&lt;=0,$M$3-F731,$D$8&gt;0,$M$3-F731+$D$8,G730&lt;F730,G731*calcs!$H$3)</f>
        <v/>
      </c>
      <c r="F731" s="29" t="str" cm="1">
        <f t="array" ref="F731">_xlfn.IFS(F730="","",G730=0,"",G730&lt;1,"",G730&lt;F730,G730,AND(G730&gt;0,$D$8&gt;0),$D$8+($M$3-(G730*calcs!$H$3)),G730&gt;0,$M$3-(G730*calcs!$H$3))</f>
        <v/>
      </c>
      <c r="G731" s="29" t="str" cm="1">
        <f t="array" ref="G731">_xlfn.IFS(F731="","",G730-F731&lt;1,0,ISBLANK(F731)=TRUE,"",G730-F731&gt;1,G730-F731)</f>
        <v/>
      </c>
      <c r="H731" s="33" t="str">
        <f t="shared" si="12"/>
        <v/>
      </c>
      <c r="I731" s="2" t="str" cm="1">
        <f t="array" ref="I731">_xlfn.IFS(OR(D731="",E731="",F731=""),"",MOD(D731,12)&lt;&gt;0,"",MOD(D731,12)=0,"Year End"&amp;" "&amp;D731/12)</f>
        <v/>
      </c>
      <c r="V731">
        <v>720</v>
      </c>
    </row>
    <row r="732" spans="4:22">
      <c r="D732" s="30" t="str">
        <f>IF(V732&lt;=calcs!$F$4,'Loan Calculator'!V732,"")</f>
        <v/>
      </c>
      <c r="E732" s="27" t="str" cm="1">
        <f t="array" ref="E732">_xlfn.IFS(F732="","",G731&lt;F731,G731*calcs!$H$3,$D$8&lt;=0,$M$3-F732,$D$8&gt;0,$M$3-F732+$D$8,G731&lt;F731,G732*calcs!$H$3)</f>
        <v/>
      </c>
      <c r="F732" s="27" t="str" cm="1">
        <f t="array" ref="F732">_xlfn.IFS(F731="","",G731=0,"",G731&lt;1,"",G731&lt;F731,G731,AND(G731&gt;0,$D$8&gt;0),$D$8+($M$3-(G731*calcs!$H$3)),G731&gt;0,$M$3-(G731*calcs!$H$3))</f>
        <v/>
      </c>
      <c r="G732" s="27" t="str" cm="1">
        <f t="array" ref="G732">_xlfn.IFS(F732="","",G731-F732&lt;1,0,ISBLANK(F732)=TRUE,"",G731-F732&gt;1,G731-F732)</f>
        <v/>
      </c>
      <c r="H732" s="31" t="str">
        <f t="shared" si="12"/>
        <v/>
      </c>
      <c r="I732" s="2" t="str" cm="1">
        <f t="array" ref="I732">_xlfn.IFS(OR(D732="",E732="",F732=""),"",MOD(D732,12)&lt;&gt;0,"",MOD(D732,12)=0,"Year End"&amp;" "&amp;D732/12)</f>
        <v/>
      </c>
      <c r="V732">
        <v>721</v>
      </c>
    </row>
    <row r="733" spans="4:22">
      <c r="D733" s="32" t="str">
        <f>IF(V733&lt;=calcs!$F$4,'Loan Calculator'!V733,"")</f>
        <v/>
      </c>
      <c r="E733" s="29" t="str" cm="1">
        <f t="array" ref="E733">_xlfn.IFS(F733="","",G732&lt;F732,G732*calcs!$H$3,$D$8&lt;=0,$M$3-F733,$D$8&gt;0,$M$3-F733+$D$8,G732&lt;F732,G733*calcs!$H$3)</f>
        <v/>
      </c>
      <c r="F733" s="29" t="str" cm="1">
        <f t="array" ref="F733">_xlfn.IFS(F732="","",G732=0,"",G732&lt;1,"",G732&lt;F732,G732,AND(G732&gt;0,$D$8&gt;0),$D$8+($M$3-(G732*calcs!$H$3)),G732&gt;0,$M$3-(G732*calcs!$H$3))</f>
        <v/>
      </c>
      <c r="G733" s="29" t="str" cm="1">
        <f t="array" ref="G733">_xlfn.IFS(F733="","",G732-F733&lt;1,0,ISBLANK(F733)=TRUE,"",G732-F733&gt;1,G732-F733)</f>
        <v/>
      </c>
      <c r="H733" s="33" t="str">
        <f t="shared" si="12"/>
        <v/>
      </c>
      <c r="I733" s="2" t="str" cm="1">
        <f t="array" ref="I733">_xlfn.IFS(OR(D733="",E733="",F733=""),"",MOD(D733,12)&lt;&gt;0,"",MOD(D733,12)=0,"Year End"&amp;" "&amp;D733/12)</f>
        <v/>
      </c>
      <c r="V733">
        <v>722</v>
      </c>
    </row>
    <row r="734" spans="4:22">
      <c r="D734" s="30" t="str">
        <f>IF(V734&lt;=calcs!$F$4,'Loan Calculator'!V734,"")</f>
        <v/>
      </c>
      <c r="E734" s="27" t="str" cm="1">
        <f t="array" ref="E734">_xlfn.IFS(F734="","",G733&lt;F733,G733*calcs!$H$3,$D$8&lt;=0,$M$3-F734,$D$8&gt;0,$M$3-F734+$D$8,G733&lt;F733,G734*calcs!$H$3)</f>
        <v/>
      </c>
      <c r="F734" s="27" t="str" cm="1">
        <f t="array" ref="F734">_xlfn.IFS(F733="","",G733=0,"",G733&lt;1,"",G733&lt;F733,G733,AND(G733&gt;0,$D$8&gt;0),$D$8+($M$3-(G733*calcs!$H$3)),G733&gt;0,$M$3-(G733*calcs!$H$3))</f>
        <v/>
      </c>
      <c r="G734" s="27" t="str" cm="1">
        <f t="array" ref="G734">_xlfn.IFS(F734="","",G733-F734&lt;1,0,ISBLANK(F734)=TRUE,"",G733-F734&gt;1,G733-F734)</f>
        <v/>
      </c>
      <c r="H734" s="31" t="str">
        <f t="shared" si="12"/>
        <v/>
      </c>
      <c r="I734" s="2" t="str" cm="1">
        <f t="array" ref="I734">_xlfn.IFS(OR(D734="",E734="",F734=""),"",MOD(D734,12)&lt;&gt;0,"",MOD(D734,12)=0,"Year End"&amp;" "&amp;D734/12)</f>
        <v/>
      </c>
      <c r="V734">
        <v>723</v>
      </c>
    </row>
    <row r="735" spans="4:22">
      <c r="D735" s="32" t="str">
        <f>IF(V735&lt;=calcs!$F$4,'Loan Calculator'!V735,"")</f>
        <v/>
      </c>
      <c r="E735" s="29" t="str" cm="1">
        <f t="array" ref="E735">_xlfn.IFS(F735="","",G734&lt;F734,G734*calcs!$H$3,$D$8&lt;=0,$M$3-F735,$D$8&gt;0,$M$3-F735+$D$8,G734&lt;F734,G735*calcs!$H$3)</f>
        <v/>
      </c>
      <c r="F735" s="29" t="str" cm="1">
        <f t="array" ref="F735">_xlfn.IFS(F734="","",G734=0,"",G734&lt;1,"",G734&lt;F734,G734,AND(G734&gt;0,$D$8&gt;0),$D$8+($M$3-(G734*calcs!$H$3)),G734&gt;0,$M$3-(G734*calcs!$H$3))</f>
        <v/>
      </c>
      <c r="G735" s="29" t="str" cm="1">
        <f t="array" ref="G735">_xlfn.IFS(F735="","",G734-F735&lt;1,0,ISBLANK(F735)=TRUE,"",G734-F735&gt;1,G734-F735)</f>
        <v/>
      </c>
      <c r="H735" s="33" t="str">
        <f t="shared" si="12"/>
        <v/>
      </c>
      <c r="I735" s="2" t="str" cm="1">
        <f t="array" ref="I735">_xlfn.IFS(OR(D735="",E735="",F735=""),"",MOD(D735,12)&lt;&gt;0,"",MOD(D735,12)=0,"Year End"&amp;" "&amp;D735/12)</f>
        <v/>
      </c>
      <c r="V735">
        <v>724</v>
      </c>
    </row>
    <row r="736" spans="4:22">
      <c r="D736" s="30" t="str">
        <f>IF(V736&lt;=calcs!$F$4,'Loan Calculator'!V736,"")</f>
        <v/>
      </c>
      <c r="E736" s="27" t="str" cm="1">
        <f t="array" ref="E736">_xlfn.IFS(F736="","",G735&lt;F735,G735*calcs!$H$3,$D$8&lt;=0,$M$3-F736,$D$8&gt;0,$M$3-F736+$D$8,G735&lt;F735,G736*calcs!$H$3)</f>
        <v/>
      </c>
      <c r="F736" s="27" t="str" cm="1">
        <f t="array" ref="F736">_xlfn.IFS(F735="","",G735=0,"",G735&lt;1,"",G735&lt;F735,G735,AND(G735&gt;0,$D$8&gt;0),$D$8+($M$3-(G735*calcs!$H$3)),G735&gt;0,$M$3-(G735*calcs!$H$3))</f>
        <v/>
      </c>
      <c r="G736" s="27" t="str" cm="1">
        <f t="array" ref="G736">_xlfn.IFS(F736="","",G735-F736&lt;1,0,ISBLANK(F736)=TRUE,"",G735-F736&gt;1,G735-F736)</f>
        <v/>
      </c>
      <c r="H736" s="31" t="str">
        <f t="shared" si="12"/>
        <v/>
      </c>
      <c r="I736" s="2" t="str" cm="1">
        <f t="array" ref="I736">_xlfn.IFS(OR(D736="",E736="",F736=""),"",MOD(D736,12)&lt;&gt;0,"",MOD(D736,12)=0,"Year End"&amp;" "&amp;D736/12)</f>
        <v/>
      </c>
      <c r="V736">
        <v>725</v>
      </c>
    </row>
    <row r="737" spans="4:22">
      <c r="D737" s="32" t="str">
        <f>IF(V737&lt;=calcs!$F$4,'Loan Calculator'!V737,"")</f>
        <v/>
      </c>
      <c r="E737" s="29" t="str" cm="1">
        <f t="array" ref="E737">_xlfn.IFS(F737="","",G736&lt;F736,G736*calcs!$H$3,$D$8&lt;=0,$M$3-F737,$D$8&gt;0,$M$3-F737+$D$8,G736&lt;F736,G737*calcs!$H$3)</f>
        <v/>
      </c>
      <c r="F737" s="29" t="str" cm="1">
        <f t="array" ref="F737">_xlfn.IFS(F736="","",G736=0,"",G736&lt;1,"",G736&lt;F736,G736,AND(G736&gt;0,$D$8&gt;0),$D$8+($M$3-(G736*calcs!$H$3)),G736&gt;0,$M$3-(G736*calcs!$H$3))</f>
        <v/>
      </c>
      <c r="G737" s="29" t="str" cm="1">
        <f t="array" ref="G737">_xlfn.IFS(F737="","",G736-F737&lt;1,0,ISBLANK(F737)=TRUE,"",G736-F737&gt;1,G736-F737)</f>
        <v/>
      </c>
      <c r="H737" s="33" t="str">
        <f t="shared" si="12"/>
        <v/>
      </c>
      <c r="I737" s="2" t="str" cm="1">
        <f t="array" ref="I737">_xlfn.IFS(OR(D737="",E737="",F737=""),"",MOD(D737,12)&lt;&gt;0,"",MOD(D737,12)=0,"Year End"&amp;" "&amp;D737/12)</f>
        <v/>
      </c>
      <c r="V737">
        <v>726</v>
      </c>
    </row>
    <row r="738" spans="4:22">
      <c r="D738" s="30" t="str">
        <f>IF(V738&lt;=calcs!$F$4,'Loan Calculator'!V738,"")</f>
        <v/>
      </c>
      <c r="E738" s="27" t="str" cm="1">
        <f t="array" ref="E738">_xlfn.IFS(F738="","",G737&lt;F737,G737*calcs!$H$3,$D$8&lt;=0,$M$3-F738,$D$8&gt;0,$M$3-F738+$D$8,G737&lt;F737,G738*calcs!$H$3)</f>
        <v/>
      </c>
      <c r="F738" s="27" t="str" cm="1">
        <f t="array" ref="F738">_xlfn.IFS(F737="","",G737=0,"",G737&lt;1,"",G737&lt;F737,G737,AND(G737&gt;0,$D$8&gt;0),$D$8+($M$3-(G737*calcs!$H$3)),G737&gt;0,$M$3-(G737*calcs!$H$3))</f>
        <v/>
      </c>
      <c r="G738" s="27" t="str" cm="1">
        <f t="array" ref="G738">_xlfn.IFS(F738="","",G737-F738&lt;1,0,ISBLANK(F738)=TRUE,"",G737-F738&gt;1,G737-F738)</f>
        <v/>
      </c>
      <c r="H738" s="31" t="str">
        <f t="shared" si="12"/>
        <v/>
      </c>
      <c r="I738" s="2" t="str" cm="1">
        <f t="array" ref="I738">_xlfn.IFS(OR(D738="",E738="",F738=""),"",MOD(D738,12)&lt;&gt;0,"",MOD(D738,12)=0,"Year End"&amp;" "&amp;D738/12)</f>
        <v/>
      </c>
      <c r="V738">
        <v>727</v>
      </c>
    </row>
    <row r="739" spans="4:22">
      <c r="D739" s="32" t="str">
        <f>IF(V739&lt;=calcs!$F$4,'Loan Calculator'!V739,"")</f>
        <v/>
      </c>
      <c r="E739" s="29" t="str" cm="1">
        <f t="array" ref="E739">_xlfn.IFS(F739="","",G738&lt;F738,G738*calcs!$H$3,$D$8&lt;=0,$M$3-F739,$D$8&gt;0,$M$3-F739+$D$8,G738&lt;F738,G739*calcs!$H$3)</f>
        <v/>
      </c>
      <c r="F739" s="29" t="str" cm="1">
        <f t="array" ref="F739">_xlfn.IFS(F738="","",G738=0,"",G738&lt;1,"",G738&lt;F738,G738,AND(G738&gt;0,$D$8&gt;0),$D$8+($M$3-(G738*calcs!$H$3)),G738&gt;0,$M$3-(G738*calcs!$H$3))</f>
        <v/>
      </c>
      <c r="G739" s="29" t="str" cm="1">
        <f t="array" ref="G739">_xlfn.IFS(F739="","",G738-F739&lt;1,0,ISBLANK(F739)=TRUE,"",G738-F739&gt;1,G738-F739)</f>
        <v/>
      </c>
      <c r="H739" s="33" t="str">
        <f t="shared" si="12"/>
        <v/>
      </c>
      <c r="I739" s="2" t="str" cm="1">
        <f t="array" ref="I739">_xlfn.IFS(OR(D739="",E739="",F739=""),"",MOD(D739,12)&lt;&gt;0,"",MOD(D739,12)=0,"Year End"&amp;" "&amp;D739/12)</f>
        <v/>
      </c>
      <c r="V739">
        <v>728</v>
      </c>
    </row>
    <row r="740" spans="4:22">
      <c r="D740" s="30" t="str">
        <f>IF(V740&lt;=calcs!$F$4,'Loan Calculator'!V740,"")</f>
        <v/>
      </c>
      <c r="E740" s="27" t="str" cm="1">
        <f t="array" ref="E740">_xlfn.IFS(F740="","",G739&lt;F739,G739*calcs!$H$3,$D$8&lt;=0,$M$3-F740,$D$8&gt;0,$M$3-F740+$D$8,G739&lt;F739,G740*calcs!$H$3)</f>
        <v/>
      </c>
      <c r="F740" s="27" t="str" cm="1">
        <f t="array" ref="F740">_xlfn.IFS(F739="","",G739=0,"",G739&lt;1,"",G739&lt;F739,G739,AND(G739&gt;0,$D$8&gt;0),$D$8+($M$3-(G739*calcs!$H$3)),G739&gt;0,$M$3-(G739*calcs!$H$3))</f>
        <v/>
      </c>
      <c r="G740" s="27" t="str" cm="1">
        <f t="array" ref="G740">_xlfn.IFS(F740="","",G739-F740&lt;1,0,ISBLANK(F740)=TRUE,"",G739-F740&gt;1,G739-F740)</f>
        <v/>
      </c>
      <c r="H740" s="31" t="str">
        <f t="shared" si="12"/>
        <v/>
      </c>
      <c r="I740" s="2" t="str" cm="1">
        <f t="array" ref="I740">_xlfn.IFS(OR(D740="",E740="",F740=""),"",MOD(D740,12)&lt;&gt;0,"",MOD(D740,12)=0,"Year End"&amp;" "&amp;D740/12)</f>
        <v/>
      </c>
      <c r="V740">
        <v>729</v>
      </c>
    </row>
    <row r="741" spans="4:22">
      <c r="D741" s="32" t="str">
        <f>IF(V741&lt;=calcs!$F$4,'Loan Calculator'!V741,"")</f>
        <v/>
      </c>
      <c r="E741" s="29" t="str" cm="1">
        <f t="array" ref="E741">_xlfn.IFS(F741="","",G740&lt;F740,G740*calcs!$H$3,$D$8&lt;=0,$M$3-F741,$D$8&gt;0,$M$3-F741+$D$8,G740&lt;F740,G741*calcs!$H$3)</f>
        <v/>
      </c>
      <c r="F741" s="29" t="str" cm="1">
        <f t="array" ref="F741">_xlfn.IFS(F740="","",G740=0,"",G740&lt;1,"",G740&lt;F740,G740,AND(G740&gt;0,$D$8&gt;0),$D$8+($M$3-(G740*calcs!$H$3)),G740&gt;0,$M$3-(G740*calcs!$H$3))</f>
        <v/>
      </c>
      <c r="G741" s="29" t="str" cm="1">
        <f t="array" ref="G741">_xlfn.IFS(F741="","",G740-F741&lt;1,0,ISBLANK(F741)=TRUE,"",G740-F741&gt;1,G740-F741)</f>
        <v/>
      </c>
      <c r="H741" s="33" t="str">
        <f t="shared" si="12"/>
        <v/>
      </c>
      <c r="I741" s="2" t="str" cm="1">
        <f t="array" ref="I741">_xlfn.IFS(OR(D741="",E741="",F741=""),"",MOD(D741,12)&lt;&gt;0,"",MOD(D741,12)=0,"Year End"&amp;" "&amp;D741/12)</f>
        <v/>
      </c>
      <c r="V741">
        <v>730</v>
      </c>
    </row>
    <row r="742" spans="4:22">
      <c r="D742" s="30" t="str">
        <f>IF(V742&lt;=calcs!$F$4,'Loan Calculator'!V742,"")</f>
        <v/>
      </c>
      <c r="E742" s="27" t="str" cm="1">
        <f t="array" ref="E742">_xlfn.IFS(F742="","",G741&lt;F741,G741*calcs!$H$3,$D$8&lt;=0,$M$3-F742,$D$8&gt;0,$M$3-F742+$D$8,G741&lt;F741,G742*calcs!$H$3)</f>
        <v/>
      </c>
      <c r="F742" s="27" t="str" cm="1">
        <f t="array" ref="F742">_xlfn.IFS(F741="","",G741=0,"",G741&lt;1,"",G741&lt;F741,G741,AND(G741&gt;0,$D$8&gt;0),$D$8+($M$3-(G741*calcs!$H$3)),G741&gt;0,$M$3-(G741*calcs!$H$3))</f>
        <v/>
      </c>
      <c r="G742" s="27" t="str" cm="1">
        <f t="array" ref="G742">_xlfn.IFS(F742="","",G741-F742&lt;1,0,ISBLANK(F742)=TRUE,"",G741-F742&gt;1,G741-F742)</f>
        <v/>
      </c>
      <c r="H742" s="31" t="str">
        <f t="shared" si="12"/>
        <v/>
      </c>
      <c r="I742" s="2" t="str" cm="1">
        <f t="array" ref="I742">_xlfn.IFS(OR(D742="",E742="",F742=""),"",MOD(D742,12)&lt;&gt;0,"",MOD(D742,12)=0,"Year End"&amp;" "&amp;D742/12)</f>
        <v/>
      </c>
      <c r="V742">
        <v>731</v>
      </c>
    </row>
    <row r="743" spans="4:22">
      <c r="D743" s="32" t="str">
        <f>IF(V743&lt;=calcs!$F$4,'Loan Calculator'!V743,"")</f>
        <v/>
      </c>
      <c r="E743" s="29" t="str" cm="1">
        <f t="array" ref="E743">_xlfn.IFS(F743="","",G742&lt;F742,G742*calcs!$H$3,$D$8&lt;=0,$M$3-F743,$D$8&gt;0,$M$3-F743+$D$8,G742&lt;F742,G743*calcs!$H$3)</f>
        <v/>
      </c>
      <c r="F743" s="29" t="str" cm="1">
        <f t="array" ref="F743">_xlfn.IFS(F742="","",G742=0,"",G742&lt;1,"",G742&lt;F742,G742,AND(G742&gt;0,$D$8&gt;0),$D$8+($M$3-(G742*calcs!$H$3)),G742&gt;0,$M$3-(G742*calcs!$H$3))</f>
        <v/>
      </c>
      <c r="G743" s="29" t="str" cm="1">
        <f t="array" ref="G743">_xlfn.IFS(F743="","",G742-F743&lt;1,0,ISBLANK(F743)=TRUE,"",G742-F743&gt;1,G742-F743)</f>
        <v/>
      </c>
      <c r="H743" s="33" t="str">
        <f t="shared" si="12"/>
        <v/>
      </c>
      <c r="I743" s="2" t="str" cm="1">
        <f t="array" ref="I743">_xlfn.IFS(OR(D743="",E743="",F743=""),"",MOD(D743,12)&lt;&gt;0,"",MOD(D743,12)=0,"Year End"&amp;" "&amp;D743/12)</f>
        <v/>
      </c>
      <c r="V743">
        <v>732</v>
      </c>
    </row>
    <row r="744" spans="4:22">
      <c r="D744" s="30" t="str">
        <f>IF(V744&lt;=calcs!$F$4,'Loan Calculator'!V744,"")</f>
        <v/>
      </c>
      <c r="E744" s="27" t="str" cm="1">
        <f t="array" ref="E744">_xlfn.IFS(F744="","",G743&lt;F743,G743*calcs!$H$3,$D$8&lt;=0,$M$3-F744,$D$8&gt;0,$M$3-F744+$D$8,G743&lt;F743,G744*calcs!$H$3)</f>
        <v/>
      </c>
      <c r="F744" s="27" t="str" cm="1">
        <f t="array" ref="F744">_xlfn.IFS(F743="","",G743=0,"",G743&lt;1,"",G743&lt;F743,G743,AND(G743&gt;0,$D$8&gt;0),$D$8+($M$3-(G743*calcs!$H$3)),G743&gt;0,$M$3-(G743*calcs!$H$3))</f>
        <v/>
      </c>
      <c r="G744" s="27" t="str" cm="1">
        <f t="array" ref="G744">_xlfn.IFS(F744="","",G743-F744&lt;1,0,ISBLANK(F744)=TRUE,"",G743-F744&gt;1,G743-F744)</f>
        <v/>
      </c>
      <c r="H744" s="31" t="str">
        <f t="shared" si="12"/>
        <v/>
      </c>
      <c r="I744" s="2" t="str" cm="1">
        <f t="array" ref="I744">_xlfn.IFS(OR(D744="",E744="",F744=""),"",MOD(D744,12)&lt;&gt;0,"",MOD(D744,12)=0,"Year End"&amp;" "&amp;D744/12)</f>
        <v/>
      </c>
      <c r="V744">
        <v>733</v>
      </c>
    </row>
    <row r="745" spans="4:22">
      <c r="D745" s="32" t="str">
        <f>IF(V745&lt;=calcs!$F$4,'Loan Calculator'!V745,"")</f>
        <v/>
      </c>
      <c r="E745" s="29" t="str" cm="1">
        <f t="array" ref="E745">_xlfn.IFS(F745="","",G744&lt;F744,G744*calcs!$H$3,$D$8&lt;=0,$M$3-F745,$D$8&gt;0,$M$3-F745+$D$8,G744&lt;F744,G745*calcs!$H$3)</f>
        <v/>
      </c>
      <c r="F745" s="29" t="str" cm="1">
        <f t="array" ref="F745">_xlfn.IFS(F744="","",G744=0,"",G744&lt;1,"",G744&lt;F744,G744,AND(G744&gt;0,$D$8&gt;0),$D$8+($M$3-(G744*calcs!$H$3)),G744&gt;0,$M$3-(G744*calcs!$H$3))</f>
        <v/>
      </c>
      <c r="G745" s="29" t="str" cm="1">
        <f t="array" ref="G745">_xlfn.IFS(F745="","",G744-F745&lt;1,0,ISBLANK(F745)=TRUE,"",G744-F745&gt;1,G744-F745)</f>
        <v/>
      </c>
      <c r="H745" s="33" t="str">
        <f t="shared" si="12"/>
        <v/>
      </c>
      <c r="I745" s="2" t="str" cm="1">
        <f t="array" ref="I745">_xlfn.IFS(OR(D745="",E745="",F745=""),"",MOD(D745,12)&lt;&gt;0,"",MOD(D745,12)=0,"Year End"&amp;" "&amp;D745/12)</f>
        <v/>
      </c>
      <c r="V745">
        <v>734</v>
      </c>
    </row>
    <row r="746" spans="4:22">
      <c r="D746" s="30" t="str">
        <f>IF(V746&lt;=calcs!$F$4,'Loan Calculator'!V746,"")</f>
        <v/>
      </c>
      <c r="E746" s="27" t="str" cm="1">
        <f t="array" ref="E746">_xlfn.IFS(F746="","",G745&lt;F745,G745*calcs!$H$3,$D$8&lt;=0,$M$3-F746,$D$8&gt;0,$M$3-F746+$D$8,G745&lt;F745,G746*calcs!$H$3)</f>
        <v/>
      </c>
      <c r="F746" s="27" t="str" cm="1">
        <f t="array" ref="F746">_xlfn.IFS(F745="","",G745=0,"",G745&lt;1,"",G745&lt;F745,G745,AND(G745&gt;0,$D$8&gt;0),$D$8+($M$3-(G745*calcs!$H$3)),G745&gt;0,$M$3-(G745*calcs!$H$3))</f>
        <v/>
      </c>
      <c r="G746" s="27" t="str" cm="1">
        <f t="array" ref="G746">_xlfn.IFS(F746="","",G745-F746&lt;1,0,ISBLANK(F746)=TRUE,"",G745-F746&gt;1,G745-F746)</f>
        <v/>
      </c>
      <c r="H746" s="31" t="str">
        <f t="shared" si="12"/>
        <v/>
      </c>
      <c r="I746" s="2" t="str" cm="1">
        <f t="array" ref="I746">_xlfn.IFS(OR(D746="",E746="",F746=""),"",MOD(D746,12)&lt;&gt;0,"",MOD(D746,12)=0,"Year End"&amp;" "&amp;D746/12)</f>
        <v/>
      </c>
      <c r="V746">
        <v>735</v>
      </c>
    </row>
    <row r="747" spans="4:22">
      <c r="D747" s="32" t="str">
        <f>IF(V747&lt;=calcs!$F$4,'Loan Calculator'!V747,"")</f>
        <v/>
      </c>
      <c r="E747" s="29" t="str" cm="1">
        <f t="array" ref="E747">_xlfn.IFS(F747="","",G746&lt;F746,G746*calcs!$H$3,$D$8&lt;=0,$M$3-F747,$D$8&gt;0,$M$3-F747+$D$8,G746&lt;F746,G747*calcs!$H$3)</f>
        <v/>
      </c>
      <c r="F747" s="29" t="str" cm="1">
        <f t="array" ref="F747">_xlfn.IFS(F746="","",G746=0,"",G746&lt;1,"",G746&lt;F746,G746,AND(G746&gt;0,$D$8&gt;0),$D$8+($M$3-(G746*calcs!$H$3)),G746&gt;0,$M$3-(G746*calcs!$H$3))</f>
        <v/>
      </c>
      <c r="G747" s="29" t="str" cm="1">
        <f t="array" ref="G747">_xlfn.IFS(F747="","",G746-F747&lt;1,0,ISBLANK(F747)=TRUE,"",G746-F747&gt;1,G746-F747)</f>
        <v/>
      </c>
      <c r="H747" s="33" t="str">
        <f t="shared" si="12"/>
        <v/>
      </c>
      <c r="I747" s="2" t="str" cm="1">
        <f t="array" ref="I747">_xlfn.IFS(OR(D747="",E747="",F747=""),"",MOD(D747,12)&lt;&gt;0,"",MOD(D747,12)=0,"Year End"&amp;" "&amp;D747/12)</f>
        <v/>
      </c>
      <c r="V747">
        <v>736</v>
      </c>
    </row>
    <row r="748" spans="4:22">
      <c r="D748" s="30" t="str">
        <f>IF(V748&lt;=calcs!$F$4,'Loan Calculator'!V748,"")</f>
        <v/>
      </c>
      <c r="E748" s="27" t="str" cm="1">
        <f t="array" ref="E748">_xlfn.IFS(F748="","",G747&lt;F747,G747*calcs!$H$3,$D$8&lt;=0,$M$3-F748,$D$8&gt;0,$M$3-F748+$D$8,G747&lt;F747,G748*calcs!$H$3)</f>
        <v/>
      </c>
      <c r="F748" s="27" t="str" cm="1">
        <f t="array" ref="F748">_xlfn.IFS(F747="","",G747=0,"",G747&lt;1,"",G747&lt;F747,G747,AND(G747&gt;0,$D$8&gt;0),$D$8+($M$3-(G747*calcs!$H$3)),G747&gt;0,$M$3-(G747*calcs!$H$3))</f>
        <v/>
      </c>
      <c r="G748" s="27" t="str" cm="1">
        <f t="array" ref="G748">_xlfn.IFS(F748="","",G747-F748&lt;1,0,ISBLANK(F748)=TRUE,"",G747-F748&gt;1,G747-F748)</f>
        <v/>
      </c>
      <c r="H748" s="31" t="str">
        <f t="shared" si="12"/>
        <v/>
      </c>
      <c r="I748" s="2" t="str" cm="1">
        <f t="array" ref="I748">_xlfn.IFS(OR(D748="",E748="",F748=""),"",MOD(D748,12)&lt;&gt;0,"",MOD(D748,12)=0,"Year End"&amp;" "&amp;D748/12)</f>
        <v/>
      </c>
      <c r="V748">
        <v>737</v>
      </c>
    </row>
    <row r="749" spans="4:22">
      <c r="D749" s="32" t="str">
        <f>IF(V749&lt;=calcs!$F$4,'Loan Calculator'!V749,"")</f>
        <v/>
      </c>
      <c r="E749" s="29" t="str" cm="1">
        <f t="array" ref="E749">_xlfn.IFS(F749="","",G748&lt;F748,G748*calcs!$H$3,$D$8&lt;=0,$M$3-F749,$D$8&gt;0,$M$3-F749+$D$8,G748&lt;F748,G749*calcs!$H$3)</f>
        <v/>
      </c>
      <c r="F749" s="29" t="str" cm="1">
        <f t="array" ref="F749">_xlfn.IFS(F748="","",G748=0,"",G748&lt;1,"",G748&lt;F748,G748,AND(G748&gt;0,$D$8&gt;0),$D$8+($M$3-(G748*calcs!$H$3)),G748&gt;0,$M$3-(G748*calcs!$H$3))</f>
        <v/>
      </c>
      <c r="G749" s="29" t="str" cm="1">
        <f t="array" ref="G749">_xlfn.IFS(F749="","",G748-F749&lt;1,0,ISBLANK(F749)=TRUE,"",G748-F749&gt;1,G748-F749)</f>
        <v/>
      </c>
      <c r="H749" s="33" t="str">
        <f t="shared" si="12"/>
        <v/>
      </c>
      <c r="I749" s="2" t="str" cm="1">
        <f t="array" ref="I749">_xlfn.IFS(OR(D749="",E749="",F749=""),"",MOD(D749,12)&lt;&gt;0,"",MOD(D749,12)=0,"Year End"&amp;" "&amp;D749/12)</f>
        <v/>
      </c>
      <c r="V749">
        <v>738</v>
      </c>
    </row>
    <row r="750" spans="4:22">
      <c r="D750" s="30" t="str">
        <f>IF(V750&lt;=calcs!$F$4,'Loan Calculator'!V750,"")</f>
        <v/>
      </c>
      <c r="E750" s="27" t="str" cm="1">
        <f t="array" ref="E750">_xlfn.IFS(F750="","",G749&lt;F749,G749*calcs!$H$3,$D$8&lt;=0,$M$3-F750,$D$8&gt;0,$M$3-F750+$D$8,G749&lt;F749,G750*calcs!$H$3)</f>
        <v/>
      </c>
      <c r="F750" s="27" t="str" cm="1">
        <f t="array" ref="F750">_xlfn.IFS(F749="","",G749=0,"",G749&lt;1,"",G749&lt;F749,G749,AND(G749&gt;0,$D$8&gt;0),$D$8+($M$3-(G749*calcs!$H$3)),G749&gt;0,$M$3-(G749*calcs!$H$3))</f>
        <v/>
      </c>
      <c r="G750" s="27" t="str" cm="1">
        <f t="array" ref="G750">_xlfn.IFS(F750="","",G749-F750&lt;1,0,ISBLANK(F750)=TRUE,"",G749-F750&gt;1,G749-F750)</f>
        <v/>
      </c>
      <c r="H750" s="31" t="str">
        <f t="shared" si="12"/>
        <v/>
      </c>
      <c r="I750" s="2" t="str" cm="1">
        <f t="array" ref="I750">_xlfn.IFS(OR(D750="",E750="",F750=""),"",MOD(D750,12)&lt;&gt;0,"",MOD(D750,12)=0,"Year End"&amp;" "&amp;D750/12)</f>
        <v/>
      </c>
      <c r="V750">
        <v>739</v>
      </c>
    </row>
    <row r="751" spans="4:22">
      <c r="D751" s="32" t="str">
        <f>IF(V751&lt;=calcs!$F$4,'Loan Calculator'!V751,"")</f>
        <v/>
      </c>
      <c r="E751" s="29" t="str" cm="1">
        <f t="array" ref="E751">_xlfn.IFS(F751="","",G750&lt;F750,G750*calcs!$H$3,$D$8&lt;=0,$M$3-F751,$D$8&gt;0,$M$3-F751+$D$8,G750&lt;F750,G751*calcs!$H$3)</f>
        <v/>
      </c>
      <c r="F751" s="29" t="str" cm="1">
        <f t="array" ref="F751">_xlfn.IFS(F750="","",G750=0,"",G750&lt;1,"",G750&lt;F750,G750,AND(G750&gt;0,$D$8&gt;0),$D$8+($M$3-(G750*calcs!$H$3)),G750&gt;0,$M$3-(G750*calcs!$H$3))</f>
        <v/>
      </c>
      <c r="G751" s="29" t="str" cm="1">
        <f t="array" ref="G751">_xlfn.IFS(F751="","",G750-F751&lt;1,0,ISBLANK(F751)=TRUE,"",G750-F751&gt;1,G750-F751)</f>
        <v/>
      </c>
      <c r="H751" s="33" t="str">
        <f t="shared" si="12"/>
        <v/>
      </c>
      <c r="I751" s="2" t="str" cm="1">
        <f t="array" ref="I751">_xlfn.IFS(OR(D751="",E751="",F751=""),"",MOD(D751,12)&lt;&gt;0,"",MOD(D751,12)=0,"Year End"&amp;" "&amp;D751/12)</f>
        <v/>
      </c>
      <c r="V751">
        <v>740</v>
      </c>
    </row>
    <row r="752" spans="4:22">
      <c r="D752" s="30" t="str">
        <f>IF(V752&lt;=calcs!$F$4,'Loan Calculator'!V752,"")</f>
        <v/>
      </c>
      <c r="E752" s="27" t="str" cm="1">
        <f t="array" ref="E752">_xlfn.IFS(F752="","",G751&lt;F751,G751*calcs!$H$3,$D$8&lt;=0,$M$3-F752,$D$8&gt;0,$M$3-F752+$D$8,G751&lt;F751,G752*calcs!$H$3)</f>
        <v/>
      </c>
      <c r="F752" s="27" t="str" cm="1">
        <f t="array" ref="F752">_xlfn.IFS(F751="","",G751=0,"",G751&lt;1,"",G751&lt;F751,G751,AND(G751&gt;0,$D$8&gt;0),$D$8+($M$3-(G751*calcs!$H$3)),G751&gt;0,$M$3-(G751*calcs!$H$3))</f>
        <v/>
      </c>
      <c r="G752" s="27" t="str" cm="1">
        <f t="array" ref="G752">_xlfn.IFS(F752="","",G751-F752&lt;1,0,ISBLANK(F752)=TRUE,"",G751-F752&gt;1,G751-F752)</f>
        <v/>
      </c>
      <c r="H752" s="31" t="str">
        <f t="shared" si="12"/>
        <v/>
      </c>
      <c r="I752" s="2" t="str" cm="1">
        <f t="array" ref="I752">_xlfn.IFS(OR(D752="",E752="",F752=""),"",MOD(D752,12)&lt;&gt;0,"",MOD(D752,12)=0,"Year End"&amp;" "&amp;D752/12)</f>
        <v/>
      </c>
      <c r="V752">
        <v>741</v>
      </c>
    </row>
    <row r="753" spans="4:22">
      <c r="D753" s="32" t="str">
        <f>IF(V753&lt;=calcs!$F$4,'Loan Calculator'!V753,"")</f>
        <v/>
      </c>
      <c r="E753" s="29" t="str" cm="1">
        <f t="array" ref="E753">_xlfn.IFS(F753="","",G752&lt;F752,G752*calcs!$H$3,$D$8&lt;=0,$M$3-F753,$D$8&gt;0,$M$3-F753+$D$8,G752&lt;F752,G753*calcs!$H$3)</f>
        <v/>
      </c>
      <c r="F753" s="29" t="str" cm="1">
        <f t="array" ref="F753">_xlfn.IFS(F752="","",G752=0,"",G752&lt;1,"",G752&lt;F752,G752,AND(G752&gt;0,$D$8&gt;0),$D$8+($M$3-(G752*calcs!$H$3)),G752&gt;0,$M$3-(G752*calcs!$H$3))</f>
        <v/>
      </c>
      <c r="G753" s="29" t="str" cm="1">
        <f t="array" ref="G753">_xlfn.IFS(F753="","",G752-F753&lt;1,0,ISBLANK(F753)=TRUE,"",G752-F753&gt;1,G752-F753)</f>
        <v/>
      </c>
      <c r="H753" s="33" t="str">
        <f t="shared" si="12"/>
        <v/>
      </c>
      <c r="I753" s="2" t="str" cm="1">
        <f t="array" ref="I753">_xlfn.IFS(OR(D753="",E753="",F753=""),"",MOD(D753,12)&lt;&gt;0,"",MOD(D753,12)=0,"Year End"&amp;" "&amp;D753/12)</f>
        <v/>
      </c>
      <c r="V753">
        <v>742</v>
      </c>
    </row>
    <row r="754" spans="4:22">
      <c r="D754" s="30" t="str">
        <f>IF(V754&lt;=calcs!$F$4,'Loan Calculator'!V754,"")</f>
        <v/>
      </c>
      <c r="E754" s="27" t="str" cm="1">
        <f t="array" ref="E754">_xlfn.IFS(F754="","",G753&lt;F753,G753*calcs!$H$3,$D$8&lt;=0,$M$3-F754,$D$8&gt;0,$M$3-F754+$D$8,G753&lt;F753,G754*calcs!$H$3)</f>
        <v/>
      </c>
      <c r="F754" s="27" t="str" cm="1">
        <f t="array" ref="F754">_xlfn.IFS(F753="","",G753=0,"",G753&lt;1,"",G753&lt;F753,G753,AND(G753&gt;0,$D$8&gt;0),$D$8+($M$3-(G753*calcs!$H$3)),G753&gt;0,$M$3-(G753*calcs!$H$3))</f>
        <v/>
      </c>
      <c r="G754" s="27" t="str" cm="1">
        <f t="array" ref="G754">_xlfn.IFS(F754="","",G753-F754&lt;1,0,ISBLANK(F754)=TRUE,"",G753-F754&gt;1,G753-F754)</f>
        <v/>
      </c>
      <c r="H754" s="31" t="str">
        <f t="shared" si="12"/>
        <v/>
      </c>
      <c r="I754" s="2" t="str" cm="1">
        <f t="array" ref="I754">_xlfn.IFS(OR(D754="",E754="",F754=""),"",MOD(D754,12)&lt;&gt;0,"",MOD(D754,12)=0,"Year End"&amp;" "&amp;D754/12)</f>
        <v/>
      </c>
      <c r="V754">
        <v>743</v>
      </c>
    </row>
    <row r="755" spans="4:22">
      <c r="D755" s="32" t="str">
        <f>IF(V755&lt;=calcs!$F$4,'Loan Calculator'!V755,"")</f>
        <v/>
      </c>
      <c r="E755" s="29" t="str" cm="1">
        <f t="array" ref="E755">_xlfn.IFS(F755="","",G754&lt;F754,G754*calcs!$H$3,$D$8&lt;=0,$M$3-F755,$D$8&gt;0,$M$3-F755+$D$8,G754&lt;F754,G755*calcs!$H$3)</f>
        <v/>
      </c>
      <c r="F755" s="29" t="str" cm="1">
        <f t="array" ref="F755">_xlfn.IFS(F754="","",G754=0,"",G754&lt;1,"",G754&lt;F754,G754,AND(G754&gt;0,$D$8&gt;0),$D$8+($M$3-(G754*calcs!$H$3)),G754&gt;0,$M$3-(G754*calcs!$H$3))</f>
        <v/>
      </c>
      <c r="G755" s="29" t="str" cm="1">
        <f t="array" ref="G755">_xlfn.IFS(F755="","",G754-F755&lt;1,0,ISBLANK(F755)=TRUE,"",G754-F755&gt;1,G754-F755)</f>
        <v/>
      </c>
      <c r="H755" s="33" t="str">
        <f t="shared" si="12"/>
        <v/>
      </c>
      <c r="I755" s="2" t="str" cm="1">
        <f t="array" ref="I755">_xlfn.IFS(OR(D755="",E755="",F755=""),"",MOD(D755,12)&lt;&gt;0,"",MOD(D755,12)=0,"Year End"&amp;" "&amp;D755/12)</f>
        <v/>
      </c>
      <c r="V755">
        <v>744</v>
      </c>
    </row>
    <row r="756" spans="4:22">
      <c r="D756" s="30" t="str">
        <f>IF(V756&lt;=calcs!$F$4,'Loan Calculator'!V756,"")</f>
        <v/>
      </c>
      <c r="E756" s="27" t="str" cm="1">
        <f t="array" ref="E756">_xlfn.IFS(F756="","",G755&lt;F755,G755*calcs!$H$3,$D$8&lt;=0,$M$3-F756,$D$8&gt;0,$M$3-F756+$D$8,G755&lt;F755,G756*calcs!$H$3)</f>
        <v/>
      </c>
      <c r="F756" s="27" t="str" cm="1">
        <f t="array" ref="F756">_xlfn.IFS(F755="","",G755=0,"",G755&lt;1,"",G755&lt;F755,G755,AND(G755&gt;0,$D$8&gt;0),$D$8+($M$3-(G755*calcs!$H$3)),G755&gt;0,$M$3-(G755*calcs!$H$3))</f>
        <v/>
      </c>
      <c r="G756" s="27" t="str" cm="1">
        <f t="array" ref="G756">_xlfn.IFS(F756="","",G755-F756&lt;1,0,ISBLANK(F756)=TRUE,"",G755-F756&gt;1,G755-F756)</f>
        <v/>
      </c>
      <c r="H756" s="31" t="str">
        <f t="shared" si="12"/>
        <v/>
      </c>
      <c r="I756" s="2" t="str" cm="1">
        <f t="array" ref="I756">_xlfn.IFS(OR(D756="",E756="",F756=""),"",MOD(D756,12)&lt;&gt;0,"",MOD(D756,12)=0,"Year End"&amp;" "&amp;D756/12)</f>
        <v/>
      </c>
      <c r="V756">
        <v>745</v>
      </c>
    </row>
    <row r="757" spans="4:22">
      <c r="D757" s="32" t="str">
        <f>IF(V757&lt;=calcs!$F$4,'Loan Calculator'!V757,"")</f>
        <v/>
      </c>
      <c r="E757" s="29" t="str" cm="1">
        <f t="array" ref="E757">_xlfn.IFS(F757="","",G756&lt;F756,G756*calcs!$H$3,$D$8&lt;=0,$M$3-F757,$D$8&gt;0,$M$3-F757+$D$8,G756&lt;F756,G757*calcs!$H$3)</f>
        <v/>
      </c>
      <c r="F757" s="29" t="str" cm="1">
        <f t="array" ref="F757">_xlfn.IFS(F756="","",G756=0,"",G756&lt;1,"",G756&lt;F756,G756,AND(G756&gt;0,$D$8&gt;0),$D$8+($M$3-(G756*calcs!$H$3)),G756&gt;0,$M$3-(G756*calcs!$H$3))</f>
        <v/>
      </c>
      <c r="G757" s="29" t="str" cm="1">
        <f t="array" ref="G757">_xlfn.IFS(F757="","",G756-F757&lt;1,0,ISBLANK(F757)=TRUE,"",G756-F757&gt;1,G756-F757)</f>
        <v/>
      </c>
      <c r="H757" s="33" t="str">
        <f t="shared" si="12"/>
        <v/>
      </c>
      <c r="I757" s="2" t="str" cm="1">
        <f t="array" ref="I757">_xlfn.IFS(OR(D757="",E757="",F757=""),"",MOD(D757,12)&lt;&gt;0,"",MOD(D757,12)=0,"Year End"&amp;" "&amp;D757/12)</f>
        <v/>
      </c>
      <c r="V757">
        <v>746</v>
      </c>
    </row>
    <row r="758" spans="4:22">
      <c r="D758" s="30" t="str">
        <f>IF(V758&lt;=calcs!$F$4,'Loan Calculator'!V758,"")</f>
        <v/>
      </c>
      <c r="E758" s="27" t="str" cm="1">
        <f t="array" ref="E758">_xlfn.IFS(F758="","",G757&lt;F757,G757*calcs!$H$3,$D$8&lt;=0,$M$3-F758,$D$8&gt;0,$M$3-F758+$D$8,G757&lt;F757,G758*calcs!$H$3)</f>
        <v/>
      </c>
      <c r="F758" s="27" t="str" cm="1">
        <f t="array" ref="F758">_xlfn.IFS(F757="","",G757=0,"",G757&lt;1,"",G757&lt;F757,G757,AND(G757&gt;0,$D$8&gt;0),$D$8+($M$3-(G757*calcs!$H$3)),G757&gt;0,$M$3-(G757*calcs!$H$3))</f>
        <v/>
      </c>
      <c r="G758" s="27" t="str" cm="1">
        <f t="array" ref="G758">_xlfn.IFS(F758="","",G757-F758&lt;1,0,ISBLANK(F758)=TRUE,"",G757-F758&gt;1,G757-F758)</f>
        <v/>
      </c>
      <c r="H758" s="31" t="str">
        <f t="shared" si="12"/>
        <v/>
      </c>
      <c r="I758" s="2" t="str" cm="1">
        <f t="array" ref="I758">_xlfn.IFS(OR(D758="",E758="",F758=""),"",MOD(D758,12)&lt;&gt;0,"",MOD(D758,12)=0,"Year End"&amp;" "&amp;D758/12)</f>
        <v/>
      </c>
      <c r="V758">
        <v>747</v>
      </c>
    </row>
    <row r="759" spans="4:22">
      <c r="D759" s="32" t="str">
        <f>IF(V759&lt;=calcs!$F$4,'Loan Calculator'!V759,"")</f>
        <v/>
      </c>
      <c r="E759" s="29" t="str" cm="1">
        <f t="array" ref="E759">_xlfn.IFS(F759="","",G758&lt;F758,G758*calcs!$H$3,$D$8&lt;=0,$M$3-F759,$D$8&gt;0,$M$3-F759+$D$8,G758&lt;F758,G759*calcs!$H$3)</f>
        <v/>
      </c>
      <c r="F759" s="29" t="str" cm="1">
        <f t="array" ref="F759">_xlfn.IFS(F758="","",G758=0,"",G758&lt;1,"",G758&lt;F758,G758,AND(G758&gt;0,$D$8&gt;0),$D$8+($M$3-(G758*calcs!$H$3)),G758&gt;0,$M$3-(G758*calcs!$H$3))</f>
        <v/>
      </c>
      <c r="G759" s="29" t="str" cm="1">
        <f t="array" ref="G759">_xlfn.IFS(F759="","",G758-F759&lt;1,0,ISBLANK(F759)=TRUE,"",G758-F759&gt;1,G758-F759)</f>
        <v/>
      </c>
      <c r="H759" s="33" t="str">
        <f t="shared" si="12"/>
        <v/>
      </c>
      <c r="I759" s="2" t="str" cm="1">
        <f t="array" ref="I759">_xlfn.IFS(OR(D759="",E759="",F759=""),"",MOD(D759,12)&lt;&gt;0,"",MOD(D759,12)=0,"Year End"&amp;" "&amp;D759/12)</f>
        <v/>
      </c>
      <c r="V759">
        <v>748</v>
      </c>
    </row>
    <row r="760" spans="4:22">
      <c r="D760" s="30" t="str">
        <f>IF(V760&lt;=calcs!$F$4,'Loan Calculator'!V760,"")</f>
        <v/>
      </c>
      <c r="E760" s="27" t="str" cm="1">
        <f t="array" ref="E760">_xlfn.IFS(F760="","",G759&lt;F759,G759*calcs!$H$3,$D$8&lt;=0,$M$3-F760,$D$8&gt;0,$M$3-F760+$D$8,G759&lt;F759,G760*calcs!$H$3)</f>
        <v/>
      </c>
      <c r="F760" s="27" t="str" cm="1">
        <f t="array" ref="F760">_xlfn.IFS(F759="","",G759=0,"",G759&lt;1,"",G759&lt;F759,G759,AND(G759&gt;0,$D$8&gt;0),$D$8+($M$3-(G759*calcs!$H$3)),G759&gt;0,$M$3-(G759*calcs!$H$3))</f>
        <v/>
      </c>
      <c r="G760" s="27" t="str" cm="1">
        <f t="array" ref="G760">_xlfn.IFS(F760="","",G759-F760&lt;1,0,ISBLANK(F760)=TRUE,"",G759-F760&gt;1,G759-F760)</f>
        <v/>
      </c>
      <c r="H760" s="31" t="str">
        <f t="shared" si="12"/>
        <v/>
      </c>
      <c r="I760" s="2" t="str" cm="1">
        <f t="array" ref="I760">_xlfn.IFS(OR(D760="",E760="",F760=""),"",MOD(D760,12)&lt;&gt;0,"",MOD(D760,12)=0,"Year End"&amp;" "&amp;D760/12)</f>
        <v/>
      </c>
      <c r="V760">
        <v>749</v>
      </c>
    </row>
    <row r="761" spans="4:22">
      <c r="D761" s="32" t="str">
        <f>IF(V761&lt;=calcs!$F$4,'Loan Calculator'!V761,"")</f>
        <v/>
      </c>
      <c r="E761" s="29" t="str" cm="1">
        <f t="array" ref="E761">_xlfn.IFS(F761="","",G760&lt;F760,G760*calcs!$H$3,$D$8&lt;=0,$M$3-F761,$D$8&gt;0,$M$3-F761+$D$8,G760&lt;F760,G761*calcs!$H$3)</f>
        <v/>
      </c>
      <c r="F761" s="29" t="str" cm="1">
        <f t="array" ref="F761">_xlfn.IFS(F760="","",G760=0,"",G760&lt;1,"",G760&lt;F760,G760,AND(G760&gt;0,$D$8&gt;0),$D$8+($M$3-(G760*calcs!$H$3)),G760&gt;0,$M$3-(G760*calcs!$H$3))</f>
        <v/>
      </c>
      <c r="G761" s="29" t="str" cm="1">
        <f t="array" ref="G761">_xlfn.IFS(F761="","",G760-F761&lt;1,0,ISBLANK(F761)=TRUE,"",G760-F761&gt;1,G760-F761)</f>
        <v/>
      </c>
      <c r="H761" s="33" t="str">
        <f t="shared" si="12"/>
        <v/>
      </c>
      <c r="I761" s="2" t="str" cm="1">
        <f t="array" ref="I761">_xlfn.IFS(OR(D761="",E761="",F761=""),"",MOD(D761,12)&lt;&gt;0,"",MOD(D761,12)=0,"Year End"&amp;" "&amp;D761/12)</f>
        <v/>
      </c>
      <c r="V761">
        <v>750</v>
      </c>
    </row>
    <row r="762" spans="4:22">
      <c r="D762" s="30" t="str">
        <f>IF(V762&lt;=calcs!$F$4,'Loan Calculator'!V762,"")</f>
        <v/>
      </c>
      <c r="E762" s="27" t="str" cm="1">
        <f t="array" ref="E762">_xlfn.IFS(F762="","",G761&lt;F761,G761*calcs!$H$3,$D$8&lt;=0,$M$3-F762,$D$8&gt;0,$M$3-F762+$D$8,G761&lt;F761,G762*calcs!$H$3)</f>
        <v/>
      </c>
      <c r="F762" s="27" t="str" cm="1">
        <f t="array" ref="F762">_xlfn.IFS(F761="","",G761=0,"",G761&lt;1,"",G761&lt;F761,G761,AND(G761&gt;0,$D$8&gt;0),$D$8+($M$3-(G761*calcs!$H$3)),G761&gt;0,$M$3-(G761*calcs!$H$3))</f>
        <v/>
      </c>
      <c r="G762" s="27" t="str" cm="1">
        <f t="array" ref="G762">_xlfn.IFS(F762="","",G761-F762&lt;1,0,ISBLANK(F762)=TRUE,"",G761-F762&gt;1,G761-F762)</f>
        <v/>
      </c>
      <c r="H762" s="31" t="str">
        <f t="shared" si="12"/>
        <v/>
      </c>
      <c r="I762" s="2" t="str" cm="1">
        <f t="array" ref="I762">_xlfn.IFS(OR(D762="",E762="",F762=""),"",MOD(D762,12)&lt;&gt;0,"",MOD(D762,12)=0,"Year End"&amp;" "&amp;D762/12)</f>
        <v/>
      </c>
      <c r="V762">
        <v>751</v>
      </c>
    </row>
    <row r="763" spans="4:22">
      <c r="D763" s="32" t="str">
        <f>IF(V763&lt;=calcs!$F$4,'Loan Calculator'!V763,"")</f>
        <v/>
      </c>
      <c r="E763" s="29" t="str" cm="1">
        <f t="array" ref="E763">_xlfn.IFS(F763="","",G762&lt;F762,G762*calcs!$H$3,$D$8&lt;=0,$M$3-F763,$D$8&gt;0,$M$3-F763+$D$8,G762&lt;F762,G763*calcs!$H$3)</f>
        <v/>
      </c>
      <c r="F763" s="29" t="str" cm="1">
        <f t="array" ref="F763">_xlfn.IFS(F762="","",G762=0,"",G762&lt;1,"",G762&lt;F762,G762,AND(G762&gt;0,$D$8&gt;0),$D$8+($M$3-(G762*calcs!$H$3)),G762&gt;0,$M$3-(G762*calcs!$H$3))</f>
        <v/>
      </c>
      <c r="G763" s="29" t="str" cm="1">
        <f t="array" ref="G763">_xlfn.IFS(F763="","",G762-F763&lt;1,0,ISBLANK(F763)=TRUE,"",G762-F763&gt;1,G762-F763)</f>
        <v/>
      </c>
      <c r="H763" s="33" t="str">
        <f t="shared" si="12"/>
        <v/>
      </c>
      <c r="I763" s="2" t="str" cm="1">
        <f t="array" ref="I763">_xlfn.IFS(OR(D763="",E763="",F763=""),"",MOD(D763,12)&lt;&gt;0,"",MOD(D763,12)=0,"Year End"&amp;" "&amp;D763/12)</f>
        <v/>
      </c>
      <c r="V763">
        <v>752</v>
      </c>
    </row>
    <row r="764" spans="4:22">
      <c r="D764" s="30" t="str">
        <f>IF(V764&lt;=calcs!$F$4,'Loan Calculator'!V764,"")</f>
        <v/>
      </c>
      <c r="E764" s="27" t="str" cm="1">
        <f t="array" ref="E764">_xlfn.IFS(F764="","",G763&lt;F763,G763*calcs!$H$3,$D$8&lt;=0,$M$3-F764,$D$8&gt;0,$M$3-F764+$D$8,G763&lt;F763,G764*calcs!$H$3)</f>
        <v/>
      </c>
      <c r="F764" s="27" t="str" cm="1">
        <f t="array" ref="F764">_xlfn.IFS(F763="","",G763=0,"",G763&lt;1,"",G763&lt;F763,G763,AND(G763&gt;0,$D$8&gt;0),$D$8+($M$3-(G763*calcs!$H$3)),G763&gt;0,$M$3-(G763*calcs!$H$3))</f>
        <v/>
      </c>
      <c r="G764" s="27" t="str" cm="1">
        <f t="array" ref="G764">_xlfn.IFS(F764="","",G763-F764&lt;1,0,ISBLANK(F764)=TRUE,"",G763-F764&gt;1,G763-F764)</f>
        <v/>
      </c>
      <c r="H764" s="31" t="str">
        <f t="shared" si="12"/>
        <v/>
      </c>
      <c r="I764" s="2" t="str" cm="1">
        <f t="array" ref="I764">_xlfn.IFS(OR(D764="",E764="",F764=""),"",MOD(D764,12)&lt;&gt;0,"",MOD(D764,12)=0,"Year End"&amp;" "&amp;D764/12)</f>
        <v/>
      </c>
      <c r="V764">
        <v>753</v>
      </c>
    </row>
    <row r="765" spans="4:22">
      <c r="D765" s="32" t="str">
        <f>IF(V765&lt;=calcs!$F$4,'Loan Calculator'!V765,"")</f>
        <v/>
      </c>
      <c r="E765" s="29" t="str" cm="1">
        <f t="array" ref="E765">_xlfn.IFS(F765="","",G764&lt;F764,G764*calcs!$H$3,$D$8&lt;=0,$M$3-F765,$D$8&gt;0,$M$3-F765+$D$8,G764&lt;F764,G765*calcs!$H$3)</f>
        <v/>
      </c>
      <c r="F765" s="29" t="str" cm="1">
        <f t="array" ref="F765">_xlfn.IFS(F764="","",G764=0,"",G764&lt;1,"",G764&lt;F764,G764,AND(G764&gt;0,$D$8&gt;0),$D$8+($M$3-(G764*calcs!$H$3)),G764&gt;0,$M$3-(G764*calcs!$H$3))</f>
        <v/>
      </c>
      <c r="G765" s="29" t="str" cm="1">
        <f t="array" ref="G765">_xlfn.IFS(F765="","",G764-F765&lt;1,0,ISBLANK(F765)=TRUE,"",G764-F765&gt;1,G764-F765)</f>
        <v/>
      </c>
      <c r="H765" s="33" t="str">
        <f t="shared" si="12"/>
        <v/>
      </c>
      <c r="I765" s="2" t="str" cm="1">
        <f t="array" ref="I765">_xlfn.IFS(OR(D765="",E765="",F765=""),"",MOD(D765,12)&lt;&gt;0,"",MOD(D765,12)=0,"Year End"&amp;" "&amp;D765/12)</f>
        <v/>
      </c>
      <c r="V765">
        <v>754</v>
      </c>
    </row>
    <row r="766" spans="4:22">
      <c r="D766" s="30" t="str">
        <f>IF(V766&lt;=calcs!$F$4,'Loan Calculator'!V766,"")</f>
        <v/>
      </c>
      <c r="E766" s="27" t="str" cm="1">
        <f t="array" ref="E766">_xlfn.IFS(F766="","",G765&lt;F765,G765*calcs!$H$3,$D$8&lt;=0,$M$3-F766,$D$8&gt;0,$M$3-F766+$D$8,G765&lt;F765,G766*calcs!$H$3)</f>
        <v/>
      </c>
      <c r="F766" s="27" t="str" cm="1">
        <f t="array" ref="F766">_xlfn.IFS(F765="","",G765=0,"",G765&lt;1,"",G765&lt;F765,G765,AND(G765&gt;0,$D$8&gt;0),$D$8+($M$3-(G765*calcs!$H$3)),G765&gt;0,$M$3-(G765*calcs!$H$3))</f>
        <v/>
      </c>
      <c r="G766" s="27" t="str" cm="1">
        <f t="array" ref="G766">_xlfn.IFS(F766="","",G765-F766&lt;1,0,ISBLANK(F766)=TRUE,"",G765-F766&gt;1,G765-F766)</f>
        <v/>
      </c>
      <c r="H766" s="31" t="str">
        <f t="shared" si="12"/>
        <v/>
      </c>
      <c r="I766" s="2" t="str" cm="1">
        <f t="array" ref="I766">_xlfn.IFS(OR(D766="",E766="",F766=""),"",MOD(D766,12)&lt;&gt;0,"",MOD(D766,12)=0,"Year End"&amp;" "&amp;D766/12)</f>
        <v/>
      </c>
      <c r="V766">
        <v>755</v>
      </c>
    </row>
    <row r="767" spans="4:22">
      <c r="D767" s="32" t="str">
        <f>IF(V767&lt;=calcs!$F$4,'Loan Calculator'!V767,"")</f>
        <v/>
      </c>
      <c r="E767" s="29" t="str" cm="1">
        <f t="array" ref="E767">_xlfn.IFS(F767="","",G766&lt;F766,G766*calcs!$H$3,$D$8&lt;=0,$M$3-F767,$D$8&gt;0,$M$3-F767+$D$8,G766&lt;F766,G767*calcs!$H$3)</f>
        <v/>
      </c>
      <c r="F767" s="29" t="str" cm="1">
        <f t="array" ref="F767">_xlfn.IFS(F766="","",G766=0,"",G766&lt;1,"",G766&lt;F766,G766,AND(G766&gt;0,$D$8&gt;0),$D$8+($M$3-(G766*calcs!$H$3)),G766&gt;0,$M$3-(G766*calcs!$H$3))</f>
        <v/>
      </c>
      <c r="G767" s="29" t="str" cm="1">
        <f t="array" ref="G767">_xlfn.IFS(F767="","",G766-F767&lt;1,0,ISBLANK(F767)=TRUE,"",G766-F767&gt;1,G766-F767)</f>
        <v/>
      </c>
      <c r="H767" s="33" t="str">
        <f t="shared" si="12"/>
        <v/>
      </c>
      <c r="I767" s="2" t="str" cm="1">
        <f t="array" ref="I767">_xlfn.IFS(OR(D767="",E767="",F767=""),"",MOD(D767,12)&lt;&gt;0,"",MOD(D767,12)=0,"Year End"&amp;" "&amp;D767/12)</f>
        <v/>
      </c>
      <c r="V767">
        <v>756</v>
      </c>
    </row>
    <row r="768" spans="4:22">
      <c r="D768" s="30" t="str">
        <f>IF(V768&lt;=calcs!$F$4,'Loan Calculator'!V768,"")</f>
        <v/>
      </c>
      <c r="E768" s="27" t="str" cm="1">
        <f t="array" ref="E768">_xlfn.IFS(F768="","",G767&lt;F767,G767*calcs!$H$3,$D$8&lt;=0,$M$3-F768,$D$8&gt;0,$M$3-F768+$D$8,G767&lt;F767,G768*calcs!$H$3)</f>
        <v/>
      </c>
      <c r="F768" s="27" t="str" cm="1">
        <f t="array" ref="F768">_xlfn.IFS(F767="","",G767=0,"",G767&lt;1,"",G767&lt;F767,G767,AND(G767&gt;0,$D$8&gt;0),$D$8+($M$3-(G767*calcs!$H$3)),G767&gt;0,$M$3-(G767*calcs!$H$3))</f>
        <v/>
      </c>
      <c r="G768" s="27" t="str" cm="1">
        <f t="array" ref="G768">_xlfn.IFS(F768="","",G767-F768&lt;1,0,ISBLANK(F768)=TRUE,"",G767-F768&gt;1,G767-F768)</f>
        <v/>
      </c>
      <c r="H768" s="31" t="str">
        <f t="shared" si="12"/>
        <v/>
      </c>
      <c r="I768" s="2" t="str" cm="1">
        <f t="array" ref="I768">_xlfn.IFS(OR(D768="",E768="",F768=""),"",MOD(D768,12)&lt;&gt;0,"",MOD(D768,12)=0,"Year End"&amp;" "&amp;D768/12)</f>
        <v/>
      </c>
      <c r="V768">
        <v>757</v>
      </c>
    </row>
    <row r="769" spans="4:22">
      <c r="D769" s="32" t="str">
        <f>IF(V769&lt;=calcs!$F$4,'Loan Calculator'!V769,"")</f>
        <v/>
      </c>
      <c r="E769" s="29" t="str" cm="1">
        <f t="array" ref="E769">_xlfn.IFS(F769="","",G768&lt;F768,G768*calcs!$H$3,$D$8&lt;=0,$M$3-F769,$D$8&gt;0,$M$3-F769+$D$8,G768&lt;F768,G769*calcs!$H$3)</f>
        <v/>
      </c>
      <c r="F769" s="29" t="str" cm="1">
        <f t="array" ref="F769">_xlfn.IFS(F768="","",G768=0,"",G768&lt;1,"",G768&lt;F768,G768,AND(G768&gt;0,$D$8&gt;0),$D$8+($M$3-(G768*calcs!$H$3)),G768&gt;0,$M$3-(G768*calcs!$H$3))</f>
        <v/>
      </c>
      <c r="G769" s="29" t="str" cm="1">
        <f t="array" ref="G769">_xlfn.IFS(F769="","",G768-F769&lt;1,0,ISBLANK(F769)=TRUE,"",G768-F769&gt;1,G768-F769)</f>
        <v/>
      </c>
      <c r="H769" s="33" t="str">
        <f t="shared" si="12"/>
        <v/>
      </c>
      <c r="I769" s="2" t="str" cm="1">
        <f t="array" ref="I769">_xlfn.IFS(OR(D769="",E769="",F769=""),"",MOD(D769,12)&lt;&gt;0,"",MOD(D769,12)=0,"Year End"&amp;" "&amp;D769/12)</f>
        <v/>
      </c>
      <c r="V769">
        <v>758</v>
      </c>
    </row>
    <row r="770" spans="4:22">
      <c r="D770" s="30" t="str">
        <f>IF(V770&lt;=calcs!$F$4,'Loan Calculator'!V770,"")</f>
        <v/>
      </c>
      <c r="E770" s="27" t="str" cm="1">
        <f t="array" ref="E770">_xlfn.IFS(F770="","",G769&lt;F769,G769*calcs!$H$3,$D$8&lt;=0,$M$3-F770,$D$8&gt;0,$M$3-F770+$D$8,G769&lt;F769,G770*calcs!$H$3)</f>
        <v/>
      </c>
      <c r="F770" s="27" t="str" cm="1">
        <f t="array" ref="F770">_xlfn.IFS(F769="","",G769=0,"",G769&lt;1,"",G769&lt;F769,G769,AND(G769&gt;0,$D$8&gt;0),$D$8+($M$3-(G769*calcs!$H$3)),G769&gt;0,$M$3-(G769*calcs!$H$3))</f>
        <v/>
      </c>
      <c r="G770" s="27" t="str" cm="1">
        <f t="array" ref="G770">_xlfn.IFS(F770="","",G769-F770&lt;1,0,ISBLANK(F770)=TRUE,"",G769-F770&gt;1,G769-F770)</f>
        <v/>
      </c>
      <c r="H770" s="31" t="str">
        <f t="shared" si="12"/>
        <v/>
      </c>
      <c r="I770" s="2" t="str" cm="1">
        <f t="array" ref="I770">_xlfn.IFS(OR(D770="",E770="",F770=""),"",MOD(D770,12)&lt;&gt;0,"",MOD(D770,12)=0,"Year End"&amp;" "&amp;D770/12)</f>
        <v/>
      </c>
      <c r="V770">
        <v>759</v>
      </c>
    </row>
    <row r="771" spans="4:22">
      <c r="D771" s="32" t="str">
        <f>IF(V771&lt;=calcs!$F$4,'Loan Calculator'!V771,"")</f>
        <v/>
      </c>
      <c r="E771" s="29" t="str" cm="1">
        <f t="array" ref="E771">_xlfn.IFS(F771="","",G770&lt;F770,G770*calcs!$H$3,$D$8&lt;=0,$M$3-F771,$D$8&gt;0,$M$3-F771+$D$8,G770&lt;F770,G771*calcs!$H$3)</f>
        <v/>
      </c>
      <c r="F771" s="29" t="str" cm="1">
        <f t="array" ref="F771">_xlfn.IFS(F770="","",G770=0,"",G770&lt;1,"",G770&lt;F770,G770,AND(G770&gt;0,$D$8&gt;0),$D$8+($M$3-(G770*calcs!$H$3)),G770&gt;0,$M$3-(G770*calcs!$H$3))</f>
        <v/>
      </c>
      <c r="G771" s="29" t="str" cm="1">
        <f t="array" ref="G771">_xlfn.IFS(F771="","",G770-F771&lt;1,0,ISBLANK(F771)=TRUE,"",G770-F771&gt;1,G770-F771)</f>
        <v/>
      </c>
      <c r="H771" s="33" t="str">
        <f t="shared" si="12"/>
        <v/>
      </c>
      <c r="I771" s="2" t="str" cm="1">
        <f t="array" ref="I771">_xlfn.IFS(OR(D771="",E771="",F771=""),"",MOD(D771,12)&lt;&gt;0,"",MOD(D771,12)=0,"Year End"&amp;" "&amp;D771/12)</f>
        <v/>
      </c>
      <c r="V771">
        <v>760</v>
      </c>
    </row>
    <row r="772" spans="4:22">
      <c r="D772" s="30" t="str">
        <f>IF(V772&lt;=calcs!$F$4,'Loan Calculator'!V772,"")</f>
        <v/>
      </c>
      <c r="E772" s="27" t="str" cm="1">
        <f t="array" ref="E772">_xlfn.IFS(F772="","",G771&lt;F771,G771*calcs!$H$3,$D$8&lt;=0,$M$3-F772,$D$8&gt;0,$M$3-F772+$D$8,G771&lt;F771,G772*calcs!$H$3)</f>
        <v/>
      </c>
      <c r="F772" s="27" t="str" cm="1">
        <f t="array" ref="F772">_xlfn.IFS(F771="","",G771=0,"",G771&lt;1,"",G771&lt;F771,G771,AND(G771&gt;0,$D$8&gt;0),$D$8+($M$3-(G771*calcs!$H$3)),G771&gt;0,$M$3-(G771*calcs!$H$3))</f>
        <v/>
      </c>
      <c r="G772" s="27" t="str" cm="1">
        <f t="array" ref="G772">_xlfn.IFS(F772="","",G771-F772&lt;1,0,ISBLANK(F772)=TRUE,"",G771-F772&gt;1,G771-F772)</f>
        <v/>
      </c>
      <c r="H772" s="31" t="str">
        <f t="shared" si="12"/>
        <v/>
      </c>
      <c r="I772" s="2" t="str" cm="1">
        <f t="array" ref="I772">_xlfn.IFS(OR(D772="",E772="",F772=""),"",MOD(D772,12)&lt;&gt;0,"",MOD(D772,12)=0,"Year End"&amp;" "&amp;D772/12)</f>
        <v/>
      </c>
      <c r="V772">
        <v>761</v>
      </c>
    </row>
    <row r="773" spans="4:22">
      <c r="D773" s="32" t="str">
        <f>IF(V773&lt;=calcs!$F$4,'Loan Calculator'!V773,"")</f>
        <v/>
      </c>
      <c r="E773" s="29" t="str" cm="1">
        <f t="array" ref="E773">_xlfn.IFS(F773="","",G772&lt;F772,G772*calcs!$H$3,$D$8&lt;=0,$M$3-F773,$D$8&gt;0,$M$3-F773+$D$8,G772&lt;F772,G773*calcs!$H$3)</f>
        <v/>
      </c>
      <c r="F773" s="29" t="str" cm="1">
        <f t="array" ref="F773">_xlfn.IFS(F772="","",G772=0,"",G772&lt;1,"",G772&lt;F772,G772,AND(G772&gt;0,$D$8&gt;0),$D$8+($M$3-(G772*calcs!$H$3)),G772&gt;0,$M$3-(G772*calcs!$H$3))</f>
        <v/>
      </c>
      <c r="G773" s="29" t="str" cm="1">
        <f t="array" ref="G773">_xlfn.IFS(F773="","",G772-F773&lt;1,0,ISBLANK(F773)=TRUE,"",G772-F773&gt;1,G772-F773)</f>
        <v/>
      </c>
      <c r="H773" s="33" t="str">
        <f t="shared" si="12"/>
        <v/>
      </c>
      <c r="I773" s="2" t="str" cm="1">
        <f t="array" ref="I773">_xlfn.IFS(OR(D773="",E773="",F773=""),"",MOD(D773,12)&lt;&gt;0,"",MOD(D773,12)=0,"Year End"&amp;" "&amp;D773/12)</f>
        <v/>
      </c>
      <c r="V773">
        <v>762</v>
      </c>
    </row>
    <row r="774" spans="4:22">
      <c r="D774" s="30" t="str">
        <f>IF(V774&lt;=calcs!$F$4,'Loan Calculator'!V774,"")</f>
        <v/>
      </c>
      <c r="E774" s="27" t="str" cm="1">
        <f t="array" ref="E774">_xlfn.IFS(F774="","",G773&lt;F773,G773*calcs!$H$3,$D$8&lt;=0,$M$3-F774,$D$8&gt;0,$M$3-F774+$D$8,G773&lt;F773,G774*calcs!$H$3)</f>
        <v/>
      </c>
      <c r="F774" s="27" t="str" cm="1">
        <f t="array" ref="F774">_xlfn.IFS(F773="","",G773=0,"",G773&lt;1,"",G773&lt;F773,G773,AND(G773&gt;0,$D$8&gt;0),$D$8+($M$3-(G773*calcs!$H$3)),G773&gt;0,$M$3-(G773*calcs!$H$3))</f>
        <v/>
      </c>
      <c r="G774" s="27" t="str" cm="1">
        <f t="array" ref="G774">_xlfn.IFS(F774="","",G773-F774&lt;1,0,ISBLANK(F774)=TRUE,"",G773-F774&gt;1,G773-F774)</f>
        <v/>
      </c>
      <c r="H774" s="31" t="str">
        <f t="shared" si="12"/>
        <v/>
      </c>
      <c r="I774" s="2" t="str" cm="1">
        <f t="array" ref="I774">_xlfn.IFS(OR(D774="",E774="",F774=""),"",MOD(D774,12)&lt;&gt;0,"",MOD(D774,12)=0,"Year End"&amp;" "&amp;D774/12)</f>
        <v/>
      </c>
      <c r="V774">
        <v>763</v>
      </c>
    </row>
    <row r="775" spans="4:22">
      <c r="D775" s="32" t="str">
        <f>IF(V775&lt;=calcs!$F$4,'Loan Calculator'!V775,"")</f>
        <v/>
      </c>
      <c r="E775" s="29" t="str" cm="1">
        <f t="array" ref="E775">_xlfn.IFS(F775="","",G774&lt;F774,G774*calcs!$H$3,$D$8&lt;=0,$M$3-F775,$D$8&gt;0,$M$3-F775+$D$8,G774&lt;F774,G775*calcs!$H$3)</f>
        <v/>
      </c>
      <c r="F775" s="29" t="str" cm="1">
        <f t="array" ref="F775">_xlfn.IFS(F774="","",G774=0,"",G774&lt;1,"",G774&lt;F774,G774,AND(G774&gt;0,$D$8&gt;0),$D$8+($M$3-(G774*calcs!$H$3)),G774&gt;0,$M$3-(G774*calcs!$H$3))</f>
        <v/>
      </c>
      <c r="G775" s="29" t="str" cm="1">
        <f t="array" ref="G775">_xlfn.IFS(F775="","",G774-F775&lt;1,0,ISBLANK(F775)=TRUE,"",G774-F775&gt;1,G774-F775)</f>
        <v/>
      </c>
      <c r="H775" s="33" t="str">
        <f t="shared" si="12"/>
        <v/>
      </c>
      <c r="I775" s="2" t="str" cm="1">
        <f t="array" ref="I775">_xlfn.IFS(OR(D775="",E775="",F775=""),"",MOD(D775,12)&lt;&gt;0,"",MOD(D775,12)=0,"Year End"&amp;" "&amp;D775/12)</f>
        <v/>
      </c>
      <c r="V775">
        <v>764</v>
      </c>
    </row>
    <row r="776" spans="4:22">
      <c r="D776" s="30" t="str">
        <f>IF(V776&lt;=calcs!$F$4,'Loan Calculator'!V776,"")</f>
        <v/>
      </c>
      <c r="E776" s="27" t="str" cm="1">
        <f t="array" ref="E776">_xlfn.IFS(F776="","",G775&lt;F775,G775*calcs!$H$3,$D$8&lt;=0,$M$3-F776,$D$8&gt;0,$M$3-F776+$D$8,G775&lt;F775,G776*calcs!$H$3)</f>
        <v/>
      </c>
      <c r="F776" s="27" t="str" cm="1">
        <f t="array" ref="F776">_xlfn.IFS(F775="","",G775=0,"",G775&lt;1,"",G775&lt;F775,G775,AND(G775&gt;0,$D$8&gt;0),$D$8+($M$3-(G775*calcs!$H$3)),G775&gt;0,$M$3-(G775*calcs!$H$3))</f>
        <v/>
      </c>
      <c r="G776" s="27" t="str" cm="1">
        <f t="array" ref="G776">_xlfn.IFS(F776="","",G775-F776&lt;1,0,ISBLANK(F776)=TRUE,"",G775-F776&gt;1,G775-F776)</f>
        <v/>
      </c>
      <c r="H776" s="31" t="str">
        <f t="shared" si="12"/>
        <v/>
      </c>
      <c r="I776" s="2" t="str" cm="1">
        <f t="array" ref="I776">_xlfn.IFS(OR(D776="",E776="",F776=""),"",MOD(D776,12)&lt;&gt;0,"",MOD(D776,12)=0,"Year End"&amp;" "&amp;D776/12)</f>
        <v/>
      </c>
      <c r="V776">
        <v>765</v>
      </c>
    </row>
    <row r="777" spans="4:22">
      <c r="D777" s="32" t="str">
        <f>IF(V777&lt;=calcs!$F$4,'Loan Calculator'!V777,"")</f>
        <v/>
      </c>
      <c r="E777" s="29" t="str" cm="1">
        <f t="array" ref="E777">_xlfn.IFS(F777="","",G776&lt;F776,G776*calcs!$H$3,$D$8&lt;=0,$M$3-F777,$D$8&gt;0,$M$3-F777+$D$8,G776&lt;F776,G777*calcs!$H$3)</f>
        <v/>
      </c>
      <c r="F777" s="29" t="str" cm="1">
        <f t="array" ref="F777">_xlfn.IFS(F776="","",G776=0,"",G776&lt;1,"",G776&lt;F776,G776,AND(G776&gt;0,$D$8&gt;0),$D$8+($M$3-(G776*calcs!$H$3)),G776&gt;0,$M$3-(G776*calcs!$H$3))</f>
        <v/>
      </c>
      <c r="G777" s="29" t="str" cm="1">
        <f t="array" ref="G777">_xlfn.IFS(F777="","",G776-F777&lt;1,0,ISBLANK(F777)=TRUE,"",G776-F777&gt;1,G776-F777)</f>
        <v/>
      </c>
      <c r="H777" s="33" t="str">
        <f t="shared" si="12"/>
        <v/>
      </c>
      <c r="I777" s="2" t="str" cm="1">
        <f t="array" ref="I777">_xlfn.IFS(OR(D777="",E777="",F777=""),"",MOD(D777,12)&lt;&gt;0,"",MOD(D777,12)=0,"Year End"&amp;" "&amp;D777/12)</f>
        <v/>
      </c>
      <c r="V777">
        <v>766</v>
      </c>
    </row>
    <row r="778" spans="4:22">
      <c r="D778" s="30" t="str">
        <f>IF(V778&lt;=calcs!$F$4,'Loan Calculator'!V778,"")</f>
        <v/>
      </c>
      <c r="E778" s="27" t="str" cm="1">
        <f t="array" ref="E778">_xlfn.IFS(F778="","",G777&lt;F777,G777*calcs!$H$3,$D$8&lt;=0,$M$3-F778,$D$8&gt;0,$M$3-F778+$D$8,G777&lt;F777,G778*calcs!$H$3)</f>
        <v/>
      </c>
      <c r="F778" s="27" t="str" cm="1">
        <f t="array" ref="F778">_xlfn.IFS(F777="","",G777=0,"",G777&lt;1,"",G777&lt;F777,G777,AND(G777&gt;0,$D$8&gt;0),$D$8+($M$3-(G777*calcs!$H$3)),G777&gt;0,$M$3-(G777*calcs!$H$3))</f>
        <v/>
      </c>
      <c r="G778" s="27" t="str" cm="1">
        <f t="array" ref="G778">_xlfn.IFS(F778="","",G777-F778&lt;1,0,ISBLANK(F778)=TRUE,"",G777-F778&gt;1,G777-F778)</f>
        <v/>
      </c>
      <c r="H778" s="31" t="str">
        <f t="shared" si="12"/>
        <v/>
      </c>
      <c r="I778" s="2" t="str" cm="1">
        <f t="array" ref="I778">_xlfn.IFS(OR(D778="",E778="",F778=""),"",MOD(D778,12)&lt;&gt;0,"",MOD(D778,12)=0,"Year End"&amp;" "&amp;D778/12)</f>
        <v/>
      </c>
      <c r="V778">
        <v>767</v>
      </c>
    </row>
    <row r="779" spans="4:22">
      <c r="D779" s="32" t="str">
        <f>IF(V779&lt;=calcs!$F$4,'Loan Calculator'!V779,"")</f>
        <v/>
      </c>
      <c r="E779" s="29" t="str" cm="1">
        <f t="array" ref="E779">_xlfn.IFS(F779="","",G778&lt;F778,G778*calcs!$H$3,$D$8&lt;=0,$M$3-F779,$D$8&gt;0,$M$3-F779+$D$8,G778&lt;F778,G779*calcs!$H$3)</f>
        <v/>
      </c>
      <c r="F779" s="29" t="str" cm="1">
        <f t="array" ref="F779">_xlfn.IFS(F778="","",G778=0,"",G778&lt;1,"",G778&lt;F778,G778,AND(G778&gt;0,$D$8&gt;0),$D$8+($M$3-(G778*calcs!$H$3)),G778&gt;0,$M$3-(G778*calcs!$H$3))</f>
        <v/>
      </c>
      <c r="G779" s="29" t="str" cm="1">
        <f t="array" ref="G779">_xlfn.IFS(F779="","",G778-F779&lt;1,0,ISBLANK(F779)=TRUE,"",G778-F779&gt;1,G778-F779)</f>
        <v/>
      </c>
      <c r="H779" s="33" t="str">
        <f t="shared" si="12"/>
        <v/>
      </c>
      <c r="I779" s="2" t="str" cm="1">
        <f t="array" ref="I779">_xlfn.IFS(OR(D779="",E779="",F779=""),"",MOD(D779,12)&lt;&gt;0,"",MOD(D779,12)=0,"Year End"&amp;" "&amp;D779/12)</f>
        <v/>
      </c>
      <c r="V779">
        <v>768</v>
      </c>
    </row>
    <row r="780" spans="4:22">
      <c r="D780" s="30" t="str">
        <f>IF(V780&lt;=calcs!$F$4,'Loan Calculator'!V780,"")</f>
        <v/>
      </c>
      <c r="E780" s="27" t="str" cm="1">
        <f t="array" ref="E780">_xlfn.IFS(F780="","",G779&lt;F779,G779*calcs!$H$3,$D$8&lt;=0,$M$3-F780,$D$8&gt;0,$M$3-F780+$D$8,G779&lt;F779,G780*calcs!$H$3)</f>
        <v/>
      </c>
      <c r="F780" s="27" t="str" cm="1">
        <f t="array" ref="F780">_xlfn.IFS(F779="","",G779=0,"",G779&lt;1,"",G779&lt;F779,G779,AND(G779&gt;0,$D$8&gt;0),$D$8+($M$3-(G779*calcs!$H$3)),G779&gt;0,$M$3-(G779*calcs!$H$3))</f>
        <v/>
      </c>
      <c r="G780" s="27" t="str" cm="1">
        <f t="array" ref="G780">_xlfn.IFS(F780="","",G779-F780&lt;1,0,ISBLANK(F780)=TRUE,"",G779-F780&gt;1,G779-F780)</f>
        <v/>
      </c>
      <c r="H780" s="31" t="str">
        <f t="shared" si="12"/>
        <v/>
      </c>
      <c r="I780" s="2" t="str" cm="1">
        <f t="array" ref="I780">_xlfn.IFS(OR(D780="",E780="",F780=""),"",MOD(D780,12)&lt;&gt;0,"",MOD(D780,12)=0,"Year End"&amp;" "&amp;D780/12)</f>
        <v/>
      </c>
      <c r="V780">
        <v>769</v>
      </c>
    </row>
    <row r="781" spans="4:22">
      <c r="D781" s="32" t="str">
        <f>IF(V781&lt;=calcs!$F$4,'Loan Calculator'!V781,"")</f>
        <v/>
      </c>
      <c r="E781" s="29" t="str" cm="1">
        <f t="array" ref="E781">_xlfn.IFS(F781="","",G780&lt;F780,G780*calcs!$H$3,$D$8&lt;=0,$M$3-F781,$D$8&gt;0,$M$3-F781+$D$8,G780&lt;F780,G781*calcs!$H$3)</f>
        <v/>
      </c>
      <c r="F781" s="29" t="str" cm="1">
        <f t="array" ref="F781">_xlfn.IFS(F780="","",G780=0,"",G780&lt;1,"",G780&lt;F780,G780,AND(G780&gt;0,$D$8&gt;0),$D$8+($M$3-(G780*calcs!$H$3)),G780&gt;0,$M$3-(G780*calcs!$H$3))</f>
        <v/>
      </c>
      <c r="G781" s="29" t="str" cm="1">
        <f t="array" ref="G781">_xlfn.IFS(F781="","",G780-F781&lt;1,0,ISBLANK(F781)=TRUE,"",G780-F781&gt;1,G780-F781)</f>
        <v/>
      </c>
      <c r="H781" s="33" t="str">
        <f t="shared" si="12"/>
        <v/>
      </c>
      <c r="I781" s="2" t="str" cm="1">
        <f t="array" ref="I781">_xlfn.IFS(OR(D781="",E781="",F781=""),"",MOD(D781,12)&lt;&gt;0,"",MOD(D781,12)=0,"Year End"&amp;" "&amp;D781/12)</f>
        <v/>
      </c>
      <c r="V781">
        <v>770</v>
      </c>
    </row>
    <row r="782" spans="4:22">
      <c r="D782" s="30" t="str">
        <f>IF(V782&lt;=calcs!$F$4,'Loan Calculator'!V782,"")</f>
        <v/>
      </c>
      <c r="E782" s="27" t="str" cm="1">
        <f t="array" ref="E782">_xlfn.IFS(F782="","",G781&lt;F781,G781*calcs!$H$3,$D$8&lt;=0,$M$3-F782,$D$8&gt;0,$M$3-F782+$D$8,G781&lt;F781,G782*calcs!$H$3)</f>
        <v/>
      </c>
      <c r="F782" s="27" t="str" cm="1">
        <f t="array" ref="F782">_xlfn.IFS(F781="","",G781=0,"",G781&lt;1,"",G781&lt;F781,G781,AND(G781&gt;0,$D$8&gt;0),$D$8+($M$3-(G781*calcs!$H$3)),G781&gt;0,$M$3-(G781*calcs!$H$3))</f>
        <v/>
      </c>
      <c r="G782" s="27" t="str" cm="1">
        <f t="array" ref="G782">_xlfn.IFS(F782="","",G781-F782&lt;1,0,ISBLANK(F782)=TRUE,"",G781-F782&gt;1,G781-F782)</f>
        <v/>
      </c>
      <c r="H782" s="31" t="str">
        <f t="shared" ref="H782:H845" si="13">IF(OR(H781=0,H781="",E782="",F782=""),"",H781+E782+F782)</f>
        <v/>
      </c>
      <c r="I782" s="2" t="str" cm="1">
        <f t="array" ref="I782">_xlfn.IFS(OR(D782="",E782="",F782=""),"",MOD(D782,12)&lt;&gt;0,"",MOD(D782,12)=0,"Year End"&amp;" "&amp;D782/12)</f>
        <v/>
      </c>
      <c r="V782">
        <v>771</v>
      </c>
    </row>
    <row r="783" spans="4:22">
      <c r="D783" s="32" t="str">
        <f>IF(V783&lt;=calcs!$F$4,'Loan Calculator'!V783,"")</f>
        <v/>
      </c>
      <c r="E783" s="29" t="str" cm="1">
        <f t="array" ref="E783">_xlfn.IFS(F783="","",G782&lt;F782,G782*calcs!$H$3,$D$8&lt;=0,$M$3-F783,$D$8&gt;0,$M$3-F783+$D$8,G782&lt;F782,G783*calcs!$H$3)</f>
        <v/>
      </c>
      <c r="F783" s="29" t="str" cm="1">
        <f t="array" ref="F783">_xlfn.IFS(F782="","",G782=0,"",G782&lt;1,"",G782&lt;F782,G782,AND(G782&gt;0,$D$8&gt;0),$D$8+($M$3-(G782*calcs!$H$3)),G782&gt;0,$M$3-(G782*calcs!$H$3))</f>
        <v/>
      </c>
      <c r="G783" s="29" t="str" cm="1">
        <f t="array" ref="G783">_xlfn.IFS(F783="","",G782-F783&lt;1,0,ISBLANK(F783)=TRUE,"",G782-F783&gt;1,G782-F783)</f>
        <v/>
      </c>
      <c r="H783" s="33" t="str">
        <f t="shared" si="13"/>
        <v/>
      </c>
      <c r="I783" s="2" t="str" cm="1">
        <f t="array" ref="I783">_xlfn.IFS(OR(D783="",E783="",F783=""),"",MOD(D783,12)&lt;&gt;0,"",MOD(D783,12)=0,"Year End"&amp;" "&amp;D783/12)</f>
        <v/>
      </c>
      <c r="V783">
        <v>772</v>
      </c>
    </row>
    <row r="784" spans="4:22">
      <c r="D784" s="30" t="str">
        <f>IF(V784&lt;=calcs!$F$4,'Loan Calculator'!V784,"")</f>
        <v/>
      </c>
      <c r="E784" s="27" t="str" cm="1">
        <f t="array" ref="E784">_xlfn.IFS(F784="","",G783&lt;F783,G783*calcs!$H$3,$D$8&lt;=0,$M$3-F784,$D$8&gt;0,$M$3-F784+$D$8,G783&lt;F783,G784*calcs!$H$3)</f>
        <v/>
      </c>
      <c r="F784" s="27" t="str" cm="1">
        <f t="array" ref="F784">_xlfn.IFS(F783="","",G783=0,"",G783&lt;1,"",G783&lt;F783,G783,AND(G783&gt;0,$D$8&gt;0),$D$8+($M$3-(G783*calcs!$H$3)),G783&gt;0,$M$3-(G783*calcs!$H$3))</f>
        <v/>
      </c>
      <c r="G784" s="27" t="str" cm="1">
        <f t="array" ref="G784">_xlfn.IFS(F784="","",G783-F784&lt;1,0,ISBLANK(F784)=TRUE,"",G783-F784&gt;1,G783-F784)</f>
        <v/>
      </c>
      <c r="H784" s="31" t="str">
        <f t="shared" si="13"/>
        <v/>
      </c>
      <c r="I784" s="2" t="str" cm="1">
        <f t="array" ref="I784">_xlfn.IFS(OR(D784="",E784="",F784=""),"",MOD(D784,12)&lt;&gt;0,"",MOD(D784,12)=0,"Year End"&amp;" "&amp;D784/12)</f>
        <v/>
      </c>
      <c r="V784">
        <v>773</v>
      </c>
    </row>
    <row r="785" spans="4:22">
      <c r="D785" s="32" t="str">
        <f>IF(V785&lt;=calcs!$F$4,'Loan Calculator'!V785,"")</f>
        <v/>
      </c>
      <c r="E785" s="29" t="str" cm="1">
        <f t="array" ref="E785">_xlfn.IFS(F785="","",G784&lt;F784,G784*calcs!$H$3,$D$8&lt;=0,$M$3-F785,$D$8&gt;0,$M$3-F785+$D$8,G784&lt;F784,G785*calcs!$H$3)</f>
        <v/>
      </c>
      <c r="F785" s="29" t="str" cm="1">
        <f t="array" ref="F785">_xlfn.IFS(F784="","",G784=0,"",G784&lt;1,"",G784&lt;F784,G784,AND(G784&gt;0,$D$8&gt;0),$D$8+($M$3-(G784*calcs!$H$3)),G784&gt;0,$M$3-(G784*calcs!$H$3))</f>
        <v/>
      </c>
      <c r="G785" s="29" t="str" cm="1">
        <f t="array" ref="G785">_xlfn.IFS(F785="","",G784-F785&lt;1,0,ISBLANK(F785)=TRUE,"",G784-F785&gt;1,G784-F785)</f>
        <v/>
      </c>
      <c r="H785" s="33" t="str">
        <f t="shared" si="13"/>
        <v/>
      </c>
      <c r="I785" s="2" t="str" cm="1">
        <f t="array" ref="I785">_xlfn.IFS(OR(D785="",E785="",F785=""),"",MOD(D785,12)&lt;&gt;0,"",MOD(D785,12)=0,"Year End"&amp;" "&amp;D785/12)</f>
        <v/>
      </c>
      <c r="V785">
        <v>774</v>
      </c>
    </row>
    <row r="786" spans="4:22">
      <c r="D786" s="30" t="str">
        <f>IF(V786&lt;=calcs!$F$4,'Loan Calculator'!V786,"")</f>
        <v/>
      </c>
      <c r="E786" s="27" t="str" cm="1">
        <f t="array" ref="E786">_xlfn.IFS(F786="","",G785&lt;F785,G785*calcs!$H$3,$D$8&lt;=0,$M$3-F786,$D$8&gt;0,$M$3-F786+$D$8,G785&lt;F785,G786*calcs!$H$3)</f>
        <v/>
      </c>
      <c r="F786" s="27" t="str" cm="1">
        <f t="array" ref="F786">_xlfn.IFS(F785="","",G785=0,"",G785&lt;1,"",G785&lt;F785,G785,AND(G785&gt;0,$D$8&gt;0),$D$8+($M$3-(G785*calcs!$H$3)),G785&gt;0,$M$3-(G785*calcs!$H$3))</f>
        <v/>
      </c>
      <c r="G786" s="27" t="str" cm="1">
        <f t="array" ref="G786">_xlfn.IFS(F786="","",G785-F786&lt;1,0,ISBLANK(F786)=TRUE,"",G785-F786&gt;1,G785-F786)</f>
        <v/>
      </c>
      <c r="H786" s="31" t="str">
        <f t="shared" si="13"/>
        <v/>
      </c>
      <c r="I786" s="2" t="str" cm="1">
        <f t="array" ref="I786">_xlfn.IFS(OR(D786="",E786="",F786=""),"",MOD(D786,12)&lt;&gt;0,"",MOD(D786,12)=0,"Year End"&amp;" "&amp;D786/12)</f>
        <v/>
      </c>
      <c r="V786">
        <v>775</v>
      </c>
    </row>
    <row r="787" spans="4:22">
      <c r="D787" s="32" t="str">
        <f>IF(V787&lt;=calcs!$F$4,'Loan Calculator'!V787,"")</f>
        <v/>
      </c>
      <c r="E787" s="29" t="str" cm="1">
        <f t="array" ref="E787">_xlfn.IFS(F787="","",G786&lt;F786,G786*calcs!$H$3,$D$8&lt;=0,$M$3-F787,$D$8&gt;0,$M$3-F787+$D$8,G786&lt;F786,G787*calcs!$H$3)</f>
        <v/>
      </c>
      <c r="F787" s="29" t="str" cm="1">
        <f t="array" ref="F787">_xlfn.IFS(F786="","",G786=0,"",G786&lt;1,"",G786&lt;F786,G786,AND(G786&gt;0,$D$8&gt;0),$D$8+($M$3-(G786*calcs!$H$3)),G786&gt;0,$M$3-(G786*calcs!$H$3))</f>
        <v/>
      </c>
      <c r="G787" s="29" t="str" cm="1">
        <f t="array" ref="G787">_xlfn.IFS(F787="","",G786-F787&lt;1,0,ISBLANK(F787)=TRUE,"",G786-F787&gt;1,G786-F787)</f>
        <v/>
      </c>
      <c r="H787" s="33" t="str">
        <f t="shared" si="13"/>
        <v/>
      </c>
      <c r="I787" s="2" t="str" cm="1">
        <f t="array" ref="I787">_xlfn.IFS(OR(D787="",E787="",F787=""),"",MOD(D787,12)&lt;&gt;0,"",MOD(D787,12)=0,"Year End"&amp;" "&amp;D787/12)</f>
        <v/>
      </c>
      <c r="V787">
        <v>776</v>
      </c>
    </row>
    <row r="788" spans="4:22">
      <c r="D788" s="30" t="str">
        <f>IF(V788&lt;=calcs!$F$4,'Loan Calculator'!V788,"")</f>
        <v/>
      </c>
      <c r="E788" s="27" t="str" cm="1">
        <f t="array" ref="E788">_xlfn.IFS(F788="","",G787&lt;F787,G787*calcs!$H$3,$D$8&lt;=0,$M$3-F788,$D$8&gt;0,$M$3-F788+$D$8,G787&lt;F787,G788*calcs!$H$3)</f>
        <v/>
      </c>
      <c r="F788" s="27" t="str" cm="1">
        <f t="array" ref="F788">_xlfn.IFS(F787="","",G787=0,"",G787&lt;1,"",G787&lt;F787,G787,AND(G787&gt;0,$D$8&gt;0),$D$8+($M$3-(G787*calcs!$H$3)),G787&gt;0,$M$3-(G787*calcs!$H$3))</f>
        <v/>
      </c>
      <c r="G788" s="27" t="str" cm="1">
        <f t="array" ref="G788">_xlfn.IFS(F788="","",G787-F788&lt;1,0,ISBLANK(F788)=TRUE,"",G787-F788&gt;1,G787-F788)</f>
        <v/>
      </c>
      <c r="H788" s="31" t="str">
        <f t="shared" si="13"/>
        <v/>
      </c>
      <c r="I788" s="2" t="str" cm="1">
        <f t="array" ref="I788">_xlfn.IFS(OR(D788="",E788="",F788=""),"",MOD(D788,12)&lt;&gt;0,"",MOD(D788,12)=0,"Year End"&amp;" "&amp;D788/12)</f>
        <v/>
      </c>
      <c r="V788">
        <v>777</v>
      </c>
    </row>
    <row r="789" spans="4:22">
      <c r="D789" s="32" t="str">
        <f>IF(V789&lt;=calcs!$F$4,'Loan Calculator'!V789,"")</f>
        <v/>
      </c>
      <c r="E789" s="29" t="str" cm="1">
        <f t="array" ref="E789">_xlfn.IFS(F789="","",G788&lt;F788,G788*calcs!$H$3,$D$8&lt;=0,$M$3-F789,$D$8&gt;0,$M$3-F789+$D$8,G788&lt;F788,G789*calcs!$H$3)</f>
        <v/>
      </c>
      <c r="F789" s="29" t="str" cm="1">
        <f t="array" ref="F789">_xlfn.IFS(F788="","",G788=0,"",G788&lt;1,"",G788&lt;F788,G788,AND(G788&gt;0,$D$8&gt;0),$D$8+($M$3-(G788*calcs!$H$3)),G788&gt;0,$M$3-(G788*calcs!$H$3))</f>
        <v/>
      </c>
      <c r="G789" s="29" t="str" cm="1">
        <f t="array" ref="G789">_xlfn.IFS(F789="","",G788-F789&lt;1,0,ISBLANK(F789)=TRUE,"",G788-F789&gt;1,G788-F789)</f>
        <v/>
      </c>
      <c r="H789" s="33" t="str">
        <f t="shared" si="13"/>
        <v/>
      </c>
      <c r="I789" s="2" t="str" cm="1">
        <f t="array" ref="I789">_xlfn.IFS(OR(D789="",E789="",F789=""),"",MOD(D789,12)&lt;&gt;0,"",MOD(D789,12)=0,"Year End"&amp;" "&amp;D789/12)</f>
        <v/>
      </c>
      <c r="V789">
        <v>778</v>
      </c>
    </row>
    <row r="790" spans="4:22">
      <c r="D790" s="30" t="str">
        <f>IF(V790&lt;=calcs!$F$4,'Loan Calculator'!V790,"")</f>
        <v/>
      </c>
      <c r="E790" s="27" t="str" cm="1">
        <f t="array" ref="E790">_xlfn.IFS(F790="","",G789&lt;F789,G789*calcs!$H$3,$D$8&lt;=0,$M$3-F790,$D$8&gt;0,$M$3-F790+$D$8,G789&lt;F789,G790*calcs!$H$3)</f>
        <v/>
      </c>
      <c r="F790" s="27" t="str" cm="1">
        <f t="array" ref="F790">_xlfn.IFS(F789="","",G789=0,"",G789&lt;1,"",G789&lt;F789,G789,AND(G789&gt;0,$D$8&gt;0),$D$8+($M$3-(G789*calcs!$H$3)),G789&gt;0,$M$3-(G789*calcs!$H$3))</f>
        <v/>
      </c>
      <c r="G790" s="27" t="str" cm="1">
        <f t="array" ref="G790">_xlfn.IFS(F790="","",G789-F790&lt;1,0,ISBLANK(F790)=TRUE,"",G789-F790&gt;1,G789-F790)</f>
        <v/>
      </c>
      <c r="H790" s="31" t="str">
        <f t="shared" si="13"/>
        <v/>
      </c>
      <c r="I790" s="2" t="str" cm="1">
        <f t="array" ref="I790">_xlfn.IFS(OR(D790="",E790="",F790=""),"",MOD(D790,12)&lt;&gt;0,"",MOD(D790,12)=0,"Year End"&amp;" "&amp;D790/12)</f>
        <v/>
      </c>
      <c r="V790">
        <v>779</v>
      </c>
    </row>
    <row r="791" spans="4:22">
      <c r="D791" s="32" t="str">
        <f>IF(V791&lt;=calcs!$F$4,'Loan Calculator'!V791,"")</f>
        <v/>
      </c>
      <c r="E791" s="29" t="str" cm="1">
        <f t="array" ref="E791">_xlfn.IFS(F791="","",G790&lt;F790,G790*calcs!$H$3,$D$8&lt;=0,$M$3-F791,$D$8&gt;0,$M$3-F791+$D$8,G790&lt;F790,G791*calcs!$H$3)</f>
        <v/>
      </c>
      <c r="F791" s="29" t="str" cm="1">
        <f t="array" ref="F791">_xlfn.IFS(F790="","",G790=0,"",G790&lt;1,"",G790&lt;F790,G790,AND(G790&gt;0,$D$8&gt;0),$D$8+($M$3-(G790*calcs!$H$3)),G790&gt;0,$M$3-(G790*calcs!$H$3))</f>
        <v/>
      </c>
      <c r="G791" s="29" t="str" cm="1">
        <f t="array" ref="G791">_xlfn.IFS(F791="","",G790-F791&lt;1,0,ISBLANK(F791)=TRUE,"",G790-F791&gt;1,G790-F791)</f>
        <v/>
      </c>
      <c r="H791" s="33" t="str">
        <f t="shared" si="13"/>
        <v/>
      </c>
      <c r="I791" s="2" t="str" cm="1">
        <f t="array" ref="I791">_xlfn.IFS(OR(D791="",E791="",F791=""),"",MOD(D791,12)&lt;&gt;0,"",MOD(D791,12)=0,"Year End"&amp;" "&amp;D791/12)</f>
        <v/>
      </c>
      <c r="V791">
        <v>780</v>
      </c>
    </row>
    <row r="792" spans="4:22">
      <c r="D792" s="30" t="str">
        <f>IF(V792&lt;=calcs!$F$4,'Loan Calculator'!V792,"")</f>
        <v/>
      </c>
      <c r="E792" s="27" t="str" cm="1">
        <f t="array" ref="E792">_xlfn.IFS(F792="","",G791&lt;F791,G791*calcs!$H$3,$D$8&lt;=0,$M$3-F792,$D$8&gt;0,$M$3-F792+$D$8,G791&lt;F791,G792*calcs!$H$3)</f>
        <v/>
      </c>
      <c r="F792" s="27" t="str" cm="1">
        <f t="array" ref="F792">_xlfn.IFS(F791="","",G791=0,"",G791&lt;1,"",G791&lt;F791,G791,AND(G791&gt;0,$D$8&gt;0),$D$8+($M$3-(G791*calcs!$H$3)),G791&gt;0,$M$3-(G791*calcs!$H$3))</f>
        <v/>
      </c>
      <c r="G792" s="27" t="str" cm="1">
        <f t="array" ref="G792">_xlfn.IFS(F792="","",G791-F792&lt;1,0,ISBLANK(F792)=TRUE,"",G791-F792&gt;1,G791-F792)</f>
        <v/>
      </c>
      <c r="H792" s="31" t="str">
        <f t="shared" si="13"/>
        <v/>
      </c>
      <c r="I792" s="2" t="str" cm="1">
        <f t="array" ref="I792">_xlfn.IFS(OR(D792="",E792="",F792=""),"",MOD(D792,12)&lt;&gt;0,"",MOD(D792,12)=0,"Year End"&amp;" "&amp;D792/12)</f>
        <v/>
      </c>
      <c r="V792">
        <v>781</v>
      </c>
    </row>
    <row r="793" spans="4:22">
      <c r="D793" s="32" t="str">
        <f>IF(V793&lt;=calcs!$F$4,'Loan Calculator'!V793,"")</f>
        <v/>
      </c>
      <c r="E793" s="29" t="str" cm="1">
        <f t="array" ref="E793">_xlfn.IFS(F793="","",G792&lt;F792,G792*calcs!$H$3,$D$8&lt;=0,$M$3-F793,$D$8&gt;0,$M$3-F793+$D$8,G792&lt;F792,G793*calcs!$H$3)</f>
        <v/>
      </c>
      <c r="F793" s="29" t="str" cm="1">
        <f t="array" ref="F793">_xlfn.IFS(F792="","",G792=0,"",G792&lt;1,"",G792&lt;F792,G792,AND(G792&gt;0,$D$8&gt;0),$D$8+($M$3-(G792*calcs!$H$3)),G792&gt;0,$M$3-(G792*calcs!$H$3))</f>
        <v/>
      </c>
      <c r="G793" s="29" t="str" cm="1">
        <f t="array" ref="G793">_xlfn.IFS(F793="","",G792-F793&lt;1,0,ISBLANK(F793)=TRUE,"",G792-F793&gt;1,G792-F793)</f>
        <v/>
      </c>
      <c r="H793" s="33" t="str">
        <f t="shared" si="13"/>
        <v/>
      </c>
      <c r="I793" s="2" t="str" cm="1">
        <f t="array" ref="I793">_xlfn.IFS(OR(D793="",E793="",F793=""),"",MOD(D793,12)&lt;&gt;0,"",MOD(D793,12)=0,"Year End"&amp;" "&amp;D793/12)</f>
        <v/>
      </c>
      <c r="V793">
        <v>782</v>
      </c>
    </row>
    <row r="794" spans="4:22">
      <c r="D794" s="30" t="str">
        <f>IF(V794&lt;=calcs!$F$4,'Loan Calculator'!V794,"")</f>
        <v/>
      </c>
      <c r="E794" s="27" t="str" cm="1">
        <f t="array" ref="E794">_xlfn.IFS(F794="","",G793&lt;F793,G793*calcs!$H$3,$D$8&lt;=0,$M$3-F794,$D$8&gt;0,$M$3-F794+$D$8,G793&lt;F793,G794*calcs!$H$3)</f>
        <v/>
      </c>
      <c r="F794" s="27" t="str" cm="1">
        <f t="array" ref="F794">_xlfn.IFS(F793="","",G793=0,"",G793&lt;1,"",G793&lt;F793,G793,AND(G793&gt;0,$D$8&gt;0),$D$8+($M$3-(G793*calcs!$H$3)),G793&gt;0,$M$3-(G793*calcs!$H$3))</f>
        <v/>
      </c>
      <c r="G794" s="27" t="str" cm="1">
        <f t="array" ref="G794">_xlfn.IFS(F794="","",G793-F794&lt;1,0,ISBLANK(F794)=TRUE,"",G793-F794&gt;1,G793-F794)</f>
        <v/>
      </c>
      <c r="H794" s="31" t="str">
        <f t="shared" si="13"/>
        <v/>
      </c>
      <c r="I794" s="2" t="str" cm="1">
        <f t="array" ref="I794">_xlfn.IFS(OR(D794="",E794="",F794=""),"",MOD(D794,12)&lt;&gt;0,"",MOD(D794,12)=0,"Year End"&amp;" "&amp;D794/12)</f>
        <v/>
      </c>
      <c r="V794">
        <v>783</v>
      </c>
    </row>
    <row r="795" spans="4:22">
      <c r="D795" s="32" t="str">
        <f>IF(V795&lt;=calcs!$F$4,'Loan Calculator'!V795,"")</f>
        <v/>
      </c>
      <c r="E795" s="29" t="str" cm="1">
        <f t="array" ref="E795">_xlfn.IFS(F795="","",G794&lt;F794,G794*calcs!$H$3,$D$8&lt;=0,$M$3-F795,$D$8&gt;0,$M$3-F795+$D$8,G794&lt;F794,G795*calcs!$H$3)</f>
        <v/>
      </c>
      <c r="F795" s="29" t="str" cm="1">
        <f t="array" ref="F795">_xlfn.IFS(F794="","",G794=0,"",G794&lt;1,"",G794&lt;F794,G794,AND(G794&gt;0,$D$8&gt;0),$D$8+($M$3-(G794*calcs!$H$3)),G794&gt;0,$M$3-(G794*calcs!$H$3))</f>
        <v/>
      </c>
      <c r="G795" s="29" t="str" cm="1">
        <f t="array" ref="G795">_xlfn.IFS(F795="","",G794-F795&lt;1,0,ISBLANK(F795)=TRUE,"",G794-F795&gt;1,G794-F795)</f>
        <v/>
      </c>
      <c r="H795" s="33" t="str">
        <f t="shared" si="13"/>
        <v/>
      </c>
      <c r="I795" s="2" t="str" cm="1">
        <f t="array" ref="I795">_xlfn.IFS(OR(D795="",E795="",F795=""),"",MOD(D795,12)&lt;&gt;0,"",MOD(D795,12)=0,"Year End"&amp;" "&amp;D795/12)</f>
        <v/>
      </c>
      <c r="V795">
        <v>784</v>
      </c>
    </row>
    <row r="796" spans="4:22">
      <c r="D796" s="30" t="str">
        <f>IF(V796&lt;=calcs!$F$4,'Loan Calculator'!V796,"")</f>
        <v/>
      </c>
      <c r="E796" s="27" t="str" cm="1">
        <f t="array" ref="E796">_xlfn.IFS(F796="","",G795&lt;F795,G795*calcs!$H$3,$D$8&lt;=0,$M$3-F796,$D$8&gt;0,$M$3-F796+$D$8,G795&lt;F795,G796*calcs!$H$3)</f>
        <v/>
      </c>
      <c r="F796" s="27" t="str" cm="1">
        <f t="array" ref="F796">_xlfn.IFS(F795="","",G795=0,"",G795&lt;1,"",G795&lt;F795,G795,AND(G795&gt;0,$D$8&gt;0),$D$8+($M$3-(G795*calcs!$H$3)),G795&gt;0,$M$3-(G795*calcs!$H$3))</f>
        <v/>
      </c>
      <c r="G796" s="27" t="str" cm="1">
        <f t="array" ref="G796">_xlfn.IFS(F796="","",G795-F796&lt;1,0,ISBLANK(F796)=TRUE,"",G795-F796&gt;1,G795-F796)</f>
        <v/>
      </c>
      <c r="H796" s="31" t="str">
        <f t="shared" si="13"/>
        <v/>
      </c>
      <c r="I796" s="2" t="str" cm="1">
        <f t="array" ref="I796">_xlfn.IFS(OR(D796="",E796="",F796=""),"",MOD(D796,12)&lt;&gt;0,"",MOD(D796,12)=0,"Year End"&amp;" "&amp;D796/12)</f>
        <v/>
      </c>
      <c r="V796">
        <v>785</v>
      </c>
    </row>
    <row r="797" spans="4:22">
      <c r="D797" s="32" t="str">
        <f>IF(V797&lt;=calcs!$F$4,'Loan Calculator'!V797,"")</f>
        <v/>
      </c>
      <c r="E797" s="29" t="str" cm="1">
        <f t="array" ref="E797">_xlfn.IFS(F797="","",G796&lt;F796,G796*calcs!$H$3,$D$8&lt;=0,$M$3-F797,$D$8&gt;0,$M$3-F797+$D$8,G796&lt;F796,G797*calcs!$H$3)</f>
        <v/>
      </c>
      <c r="F797" s="29" t="str" cm="1">
        <f t="array" ref="F797">_xlfn.IFS(F796="","",G796=0,"",G796&lt;1,"",G796&lt;F796,G796,AND(G796&gt;0,$D$8&gt;0),$D$8+($M$3-(G796*calcs!$H$3)),G796&gt;0,$M$3-(G796*calcs!$H$3))</f>
        <v/>
      </c>
      <c r="G797" s="29" t="str" cm="1">
        <f t="array" ref="G797">_xlfn.IFS(F797="","",G796-F797&lt;1,0,ISBLANK(F797)=TRUE,"",G796-F797&gt;1,G796-F797)</f>
        <v/>
      </c>
      <c r="H797" s="33" t="str">
        <f t="shared" si="13"/>
        <v/>
      </c>
      <c r="I797" s="2" t="str" cm="1">
        <f t="array" ref="I797">_xlfn.IFS(OR(D797="",E797="",F797=""),"",MOD(D797,12)&lt;&gt;0,"",MOD(D797,12)=0,"Year End"&amp;" "&amp;D797/12)</f>
        <v/>
      </c>
      <c r="V797">
        <v>786</v>
      </c>
    </row>
    <row r="798" spans="4:22">
      <c r="D798" s="30" t="str">
        <f>IF(V798&lt;=calcs!$F$4,'Loan Calculator'!V798,"")</f>
        <v/>
      </c>
      <c r="E798" s="27" t="str" cm="1">
        <f t="array" ref="E798">_xlfn.IFS(F798="","",G797&lt;F797,G797*calcs!$H$3,$D$8&lt;=0,$M$3-F798,$D$8&gt;0,$M$3-F798+$D$8,G797&lt;F797,G798*calcs!$H$3)</f>
        <v/>
      </c>
      <c r="F798" s="27" t="str" cm="1">
        <f t="array" ref="F798">_xlfn.IFS(F797="","",G797=0,"",G797&lt;1,"",G797&lt;F797,G797,AND(G797&gt;0,$D$8&gt;0),$D$8+($M$3-(G797*calcs!$H$3)),G797&gt;0,$M$3-(G797*calcs!$H$3))</f>
        <v/>
      </c>
      <c r="G798" s="27" t="str" cm="1">
        <f t="array" ref="G798">_xlfn.IFS(F798="","",G797-F798&lt;1,0,ISBLANK(F798)=TRUE,"",G797-F798&gt;1,G797-F798)</f>
        <v/>
      </c>
      <c r="H798" s="31" t="str">
        <f t="shared" si="13"/>
        <v/>
      </c>
      <c r="I798" s="2" t="str" cm="1">
        <f t="array" ref="I798">_xlfn.IFS(OR(D798="",E798="",F798=""),"",MOD(D798,12)&lt;&gt;0,"",MOD(D798,12)=0,"Year End"&amp;" "&amp;D798/12)</f>
        <v/>
      </c>
      <c r="V798">
        <v>787</v>
      </c>
    </row>
    <row r="799" spans="4:22">
      <c r="D799" s="32" t="str">
        <f>IF(V799&lt;=calcs!$F$4,'Loan Calculator'!V799,"")</f>
        <v/>
      </c>
      <c r="E799" s="29" t="str" cm="1">
        <f t="array" ref="E799">_xlfn.IFS(F799="","",G798&lt;F798,G798*calcs!$H$3,$D$8&lt;=0,$M$3-F799,$D$8&gt;0,$M$3-F799+$D$8,G798&lt;F798,G799*calcs!$H$3)</f>
        <v/>
      </c>
      <c r="F799" s="29" t="str" cm="1">
        <f t="array" ref="F799">_xlfn.IFS(F798="","",G798=0,"",G798&lt;1,"",G798&lt;F798,G798,AND(G798&gt;0,$D$8&gt;0),$D$8+($M$3-(G798*calcs!$H$3)),G798&gt;0,$M$3-(G798*calcs!$H$3))</f>
        <v/>
      </c>
      <c r="G799" s="29" t="str" cm="1">
        <f t="array" ref="G799">_xlfn.IFS(F799="","",G798-F799&lt;1,0,ISBLANK(F799)=TRUE,"",G798-F799&gt;1,G798-F799)</f>
        <v/>
      </c>
      <c r="H799" s="33" t="str">
        <f t="shared" si="13"/>
        <v/>
      </c>
      <c r="I799" s="2" t="str" cm="1">
        <f t="array" ref="I799">_xlfn.IFS(OR(D799="",E799="",F799=""),"",MOD(D799,12)&lt;&gt;0,"",MOD(D799,12)=0,"Year End"&amp;" "&amp;D799/12)</f>
        <v/>
      </c>
      <c r="V799">
        <v>788</v>
      </c>
    </row>
    <row r="800" spans="4:22">
      <c r="D800" s="30" t="str">
        <f>IF(V800&lt;=calcs!$F$4,'Loan Calculator'!V800,"")</f>
        <v/>
      </c>
      <c r="E800" s="27" t="str" cm="1">
        <f t="array" ref="E800">_xlfn.IFS(F800="","",G799&lt;F799,G799*calcs!$H$3,$D$8&lt;=0,$M$3-F800,$D$8&gt;0,$M$3-F800+$D$8,G799&lt;F799,G800*calcs!$H$3)</f>
        <v/>
      </c>
      <c r="F800" s="27" t="str" cm="1">
        <f t="array" ref="F800">_xlfn.IFS(F799="","",G799=0,"",G799&lt;1,"",G799&lt;F799,G799,AND(G799&gt;0,$D$8&gt;0),$D$8+($M$3-(G799*calcs!$H$3)),G799&gt;0,$M$3-(G799*calcs!$H$3))</f>
        <v/>
      </c>
      <c r="G800" s="27" t="str" cm="1">
        <f t="array" ref="G800">_xlfn.IFS(F800="","",G799-F800&lt;1,0,ISBLANK(F800)=TRUE,"",G799-F800&gt;1,G799-F800)</f>
        <v/>
      </c>
      <c r="H800" s="31" t="str">
        <f t="shared" si="13"/>
        <v/>
      </c>
      <c r="I800" s="2" t="str" cm="1">
        <f t="array" ref="I800">_xlfn.IFS(OR(D800="",E800="",F800=""),"",MOD(D800,12)&lt;&gt;0,"",MOD(D800,12)=0,"Year End"&amp;" "&amp;D800/12)</f>
        <v/>
      </c>
      <c r="V800">
        <v>789</v>
      </c>
    </row>
    <row r="801" spans="4:22">
      <c r="D801" s="32" t="str">
        <f>IF(V801&lt;=calcs!$F$4,'Loan Calculator'!V801,"")</f>
        <v/>
      </c>
      <c r="E801" s="29" t="str" cm="1">
        <f t="array" ref="E801">_xlfn.IFS(F801="","",G800&lt;F800,G800*calcs!$H$3,$D$8&lt;=0,$M$3-F801,$D$8&gt;0,$M$3-F801+$D$8,G800&lt;F800,G801*calcs!$H$3)</f>
        <v/>
      </c>
      <c r="F801" s="29" t="str" cm="1">
        <f t="array" ref="F801">_xlfn.IFS(F800="","",G800=0,"",G800&lt;1,"",G800&lt;F800,G800,AND(G800&gt;0,$D$8&gt;0),$D$8+($M$3-(G800*calcs!$H$3)),G800&gt;0,$M$3-(G800*calcs!$H$3))</f>
        <v/>
      </c>
      <c r="G801" s="29" t="str" cm="1">
        <f t="array" ref="G801">_xlfn.IFS(F801="","",G800-F801&lt;1,0,ISBLANK(F801)=TRUE,"",G800-F801&gt;1,G800-F801)</f>
        <v/>
      </c>
      <c r="H801" s="33" t="str">
        <f t="shared" si="13"/>
        <v/>
      </c>
      <c r="I801" s="2" t="str" cm="1">
        <f t="array" ref="I801">_xlfn.IFS(OR(D801="",E801="",F801=""),"",MOD(D801,12)&lt;&gt;0,"",MOD(D801,12)=0,"Year End"&amp;" "&amp;D801/12)</f>
        <v/>
      </c>
      <c r="V801">
        <v>790</v>
      </c>
    </row>
    <row r="802" spans="4:22">
      <c r="D802" s="30" t="str">
        <f>IF(V802&lt;=calcs!$F$4,'Loan Calculator'!V802,"")</f>
        <v/>
      </c>
      <c r="E802" s="27" t="str" cm="1">
        <f t="array" ref="E802">_xlfn.IFS(F802="","",G801&lt;F801,G801*calcs!$H$3,$D$8&lt;=0,$M$3-F802,$D$8&gt;0,$M$3-F802+$D$8,G801&lt;F801,G802*calcs!$H$3)</f>
        <v/>
      </c>
      <c r="F802" s="27" t="str" cm="1">
        <f t="array" ref="F802">_xlfn.IFS(F801="","",G801=0,"",G801&lt;1,"",G801&lt;F801,G801,AND(G801&gt;0,$D$8&gt;0),$D$8+($M$3-(G801*calcs!$H$3)),G801&gt;0,$M$3-(G801*calcs!$H$3))</f>
        <v/>
      </c>
      <c r="G802" s="27" t="str" cm="1">
        <f t="array" ref="G802">_xlfn.IFS(F802="","",G801-F802&lt;1,0,ISBLANK(F802)=TRUE,"",G801-F802&gt;1,G801-F802)</f>
        <v/>
      </c>
      <c r="H802" s="31" t="str">
        <f t="shared" si="13"/>
        <v/>
      </c>
      <c r="I802" s="2" t="str" cm="1">
        <f t="array" ref="I802">_xlfn.IFS(OR(D802="",E802="",F802=""),"",MOD(D802,12)&lt;&gt;0,"",MOD(D802,12)=0,"Year End"&amp;" "&amp;D802/12)</f>
        <v/>
      </c>
      <c r="V802">
        <v>791</v>
      </c>
    </row>
    <row r="803" spans="4:22">
      <c r="D803" s="32" t="str">
        <f>IF(V803&lt;=calcs!$F$4,'Loan Calculator'!V803,"")</f>
        <v/>
      </c>
      <c r="E803" s="29" t="str" cm="1">
        <f t="array" ref="E803">_xlfn.IFS(F803="","",G802&lt;F802,G802*calcs!$H$3,$D$8&lt;=0,$M$3-F803,$D$8&gt;0,$M$3-F803+$D$8,G802&lt;F802,G803*calcs!$H$3)</f>
        <v/>
      </c>
      <c r="F803" s="29" t="str" cm="1">
        <f t="array" ref="F803">_xlfn.IFS(F802="","",G802=0,"",G802&lt;1,"",G802&lt;F802,G802,AND(G802&gt;0,$D$8&gt;0),$D$8+($M$3-(G802*calcs!$H$3)),G802&gt;0,$M$3-(G802*calcs!$H$3))</f>
        <v/>
      </c>
      <c r="G803" s="29" t="str" cm="1">
        <f t="array" ref="G803">_xlfn.IFS(F803="","",G802-F803&lt;1,0,ISBLANK(F803)=TRUE,"",G802-F803&gt;1,G802-F803)</f>
        <v/>
      </c>
      <c r="H803" s="33" t="str">
        <f t="shared" si="13"/>
        <v/>
      </c>
      <c r="I803" s="2" t="str" cm="1">
        <f t="array" ref="I803">_xlfn.IFS(OR(D803="",E803="",F803=""),"",MOD(D803,12)&lt;&gt;0,"",MOD(D803,12)=0,"Year End"&amp;" "&amp;D803/12)</f>
        <v/>
      </c>
      <c r="V803">
        <v>792</v>
      </c>
    </row>
    <row r="804" spans="4:22">
      <c r="D804" s="30" t="str">
        <f>IF(V804&lt;=calcs!$F$4,'Loan Calculator'!V804,"")</f>
        <v/>
      </c>
      <c r="E804" s="27" t="str" cm="1">
        <f t="array" ref="E804">_xlfn.IFS(F804="","",G803&lt;F803,G803*calcs!$H$3,$D$8&lt;=0,$M$3-F804,$D$8&gt;0,$M$3-F804+$D$8,G803&lt;F803,G804*calcs!$H$3)</f>
        <v/>
      </c>
      <c r="F804" s="27" t="str" cm="1">
        <f t="array" ref="F804">_xlfn.IFS(F803="","",G803=0,"",G803&lt;1,"",G803&lt;F803,G803,AND(G803&gt;0,$D$8&gt;0),$D$8+($M$3-(G803*calcs!$H$3)),G803&gt;0,$M$3-(G803*calcs!$H$3))</f>
        <v/>
      </c>
      <c r="G804" s="27" t="str" cm="1">
        <f t="array" ref="G804">_xlfn.IFS(F804="","",G803-F804&lt;1,0,ISBLANK(F804)=TRUE,"",G803-F804&gt;1,G803-F804)</f>
        <v/>
      </c>
      <c r="H804" s="31" t="str">
        <f t="shared" si="13"/>
        <v/>
      </c>
      <c r="I804" s="2" t="str" cm="1">
        <f t="array" ref="I804">_xlfn.IFS(OR(D804="",E804="",F804=""),"",MOD(D804,12)&lt;&gt;0,"",MOD(D804,12)=0,"Year End"&amp;" "&amp;D804/12)</f>
        <v/>
      </c>
      <c r="V804">
        <v>793</v>
      </c>
    </row>
    <row r="805" spans="4:22">
      <c r="D805" s="32" t="str">
        <f>IF(V805&lt;=calcs!$F$4,'Loan Calculator'!V805,"")</f>
        <v/>
      </c>
      <c r="E805" s="29" t="str" cm="1">
        <f t="array" ref="E805">_xlfn.IFS(F805="","",G804&lt;F804,G804*calcs!$H$3,$D$8&lt;=0,$M$3-F805,$D$8&gt;0,$M$3-F805+$D$8,G804&lt;F804,G805*calcs!$H$3)</f>
        <v/>
      </c>
      <c r="F805" s="29" t="str" cm="1">
        <f t="array" ref="F805">_xlfn.IFS(F804="","",G804=0,"",G804&lt;1,"",G804&lt;F804,G804,AND(G804&gt;0,$D$8&gt;0),$D$8+($M$3-(G804*calcs!$H$3)),G804&gt;0,$M$3-(G804*calcs!$H$3))</f>
        <v/>
      </c>
      <c r="G805" s="29" t="str" cm="1">
        <f t="array" ref="G805">_xlfn.IFS(F805="","",G804-F805&lt;1,0,ISBLANK(F805)=TRUE,"",G804-F805&gt;1,G804-F805)</f>
        <v/>
      </c>
      <c r="H805" s="33" t="str">
        <f t="shared" si="13"/>
        <v/>
      </c>
      <c r="I805" s="2" t="str" cm="1">
        <f t="array" ref="I805">_xlfn.IFS(OR(D805="",E805="",F805=""),"",MOD(D805,12)&lt;&gt;0,"",MOD(D805,12)=0,"Year End"&amp;" "&amp;D805/12)</f>
        <v/>
      </c>
      <c r="V805">
        <v>794</v>
      </c>
    </row>
    <row r="806" spans="4:22">
      <c r="D806" s="30" t="str">
        <f>IF(V806&lt;=calcs!$F$4,'Loan Calculator'!V806,"")</f>
        <v/>
      </c>
      <c r="E806" s="27" t="str" cm="1">
        <f t="array" ref="E806">_xlfn.IFS(F806="","",G805&lt;F805,G805*calcs!$H$3,$D$8&lt;=0,$M$3-F806,$D$8&gt;0,$M$3-F806+$D$8,G805&lt;F805,G806*calcs!$H$3)</f>
        <v/>
      </c>
      <c r="F806" s="27" t="str" cm="1">
        <f t="array" ref="F806">_xlfn.IFS(F805="","",G805=0,"",G805&lt;1,"",G805&lt;F805,G805,AND(G805&gt;0,$D$8&gt;0),$D$8+($M$3-(G805*calcs!$H$3)),G805&gt;0,$M$3-(G805*calcs!$H$3))</f>
        <v/>
      </c>
      <c r="G806" s="27" t="str" cm="1">
        <f t="array" ref="G806">_xlfn.IFS(F806="","",G805-F806&lt;1,0,ISBLANK(F806)=TRUE,"",G805-F806&gt;1,G805-F806)</f>
        <v/>
      </c>
      <c r="H806" s="31" t="str">
        <f t="shared" si="13"/>
        <v/>
      </c>
      <c r="I806" s="2" t="str" cm="1">
        <f t="array" ref="I806">_xlfn.IFS(OR(D806="",E806="",F806=""),"",MOD(D806,12)&lt;&gt;0,"",MOD(D806,12)=0,"Year End"&amp;" "&amp;D806/12)</f>
        <v/>
      </c>
      <c r="V806">
        <v>795</v>
      </c>
    </row>
    <row r="807" spans="4:22">
      <c r="D807" s="32" t="str">
        <f>IF(V807&lt;=calcs!$F$4,'Loan Calculator'!V807,"")</f>
        <v/>
      </c>
      <c r="E807" s="29" t="str" cm="1">
        <f t="array" ref="E807">_xlfn.IFS(F807="","",G806&lt;F806,G806*calcs!$H$3,$D$8&lt;=0,$M$3-F807,$D$8&gt;0,$M$3-F807+$D$8,G806&lt;F806,G807*calcs!$H$3)</f>
        <v/>
      </c>
      <c r="F807" s="29" t="str" cm="1">
        <f t="array" ref="F807">_xlfn.IFS(F806="","",G806=0,"",G806&lt;1,"",G806&lt;F806,G806,AND(G806&gt;0,$D$8&gt;0),$D$8+($M$3-(G806*calcs!$H$3)),G806&gt;0,$M$3-(G806*calcs!$H$3))</f>
        <v/>
      </c>
      <c r="G807" s="29" t="str" cm="1">
        <f t="array" ref="G807">_xlfn.IFS(F807="","",G806-F807&lt;1,0,ISBLANK(F807)=TRUE,"",G806-F807&gt;1,G806-F807)</f>
        <v/>
      </c>
      <c r="H807" s="33" t="str">
        <f t="shared" si="13"/>
        <v/>
      </c>
      <c r="I807" s="2" t="str" cm="1">
        <f t="array" ref="I807">_xlfn.IFS(OR(D807="",E807="",F807=""),"",MOD(D807,12)&lt;&gt;0,"",MOD(D807,12)=0,"Year End"&amp;" "&amp;D807/12)</f>
        <v/>
      </c>
      <c r="V807">
        <v>796</v>
      </c>
    </row>
    <row r="808" spans="4:22">
      <c r="D808" s="30" t="str">
        <f>IF(V808&lt;=calcs!$F$4,'Loan Calculator'!V808,"")</f>
        <v/>
      </c>
      <c r="E808" s="27" t="str" cm="1">
        <f t="array" ref="E808">_xlfn.IFS(F808="","",G807&lt;F807,G807*calcs!$H$3,$D$8&lt;=0,$M$3-F808,$D$8&gt;0,$M$3-F808+$D$8,G807&lt;F807,G808*calcs!$H$3)</f>
        <v/>
      </c>
      <c r="F808" s="27" t="str" cm="1">
        <f t="array" ref="F808">_xlfn.IFS(F807="","",G807=0,"",G807&lt;1,"",G807&lt;F807,G807,AND(G807&gt;0,$D$8&gt;0),$D$8+($M$3-(G807*calcs!$H$3)),G807&gt;0,$M$3-(G807*calcs!$H$3))</f>
        <v/>
      </c>
      <c r="G808" s="27" t="str" cm="1">
        <f t="array" ref="G808">_xlfn.IFS(F808="","",G807-F808&lt;1,0,ISBLANK(F808)=TRUE,"",G807-F808&gt;1,G807-F808)</f>
        <v/>
      </c>
      <c r="H808" s="31" t="str">
        <f t="shared" si="13"/>
        <v/>
      </c>
      <c r="I808" s="2" t="str" cm="1">
        <f t="array" ref="I808">_xlfn.IFS(OR(D808="",E808="",F808=""),"",MOD(D808,12)&lt;&gt;0,"",MOD(D808,12)=0,"Year End"&amp;" "&amp;D808/12)</f>
        <v/>
      </c>
      <c r="V808">
        <v>797</v>
      </c>
    </row>
    <row r="809" spans="4:22">
      <c r="D809" s="32" t="str">
        <f>IF(V809&lt;=calcs!$F$4,'Loan Calculator'!V809,"")</f>
        <v/>
      </c>
      <c r="E809" s="29" t="str" cm="1">
        <f t="array" ref="E809">_xlfn.IFS(F809="","",G808&lt;F808,G808*calcs!$H$3,$D$8&lt;=0,$M$3-F809,$D$8&gt;0,$M$3-F809+$D$8,G808&lt;F808,G809*calcs!$H$3)</f>
        <v/>
      </c>
      <c r="F809" s="29" t="str" cm="1">
        <f t="array" ref="F809">_xlfn.IFS(F808="","",G808=0,"",G808&lt;1,"",G808&lt;F808,G808,AND(G808&gt;0,$D$8&gt;0),$D$8+($M$3-(G808*calcs!$H$3)),G808&gt;0,$M$3-(G808*calcs!$H$3))</f>
        <v/>
      </c>
      <c r="G809" s="29" t="str" cm="1">
        <f t="array" ref="G809">_xlfn.IFS(F809="","",G808-F809&lt;1,0,ISBLANK(F809)=TRUE,"",G808-F809&gt;1,G808-F809)</f>
        <v/>
      </c>
      <c r="H809" s="33" t="str">
        <f t="shared" si="13"/>
        <v/>
      </c>
      <c r="I809" s="2" t="str" cm="1">
        <f t="array" ref="I809">_xlfn.IFS(OR(D809="",E809="",F809=""),"",MOD(D809,12)&lt;&gt;0,"",MOD(D809,12)=0,"Year End"&amp;" "&amp;D809/12)</f>
        <v/>
      </c>
      <c r="V809">
        <v>798</v>
      </c>
    </row>
    <row r="810" spans="4:22">
      <c r="D810" s="30" t="str">
        <f>IF(V810&lt;=calcs!$F$4,'Loan Calculator'!V810,"")</f>
        <v/>
      </c>
      <c r="E810" s="27" t="str" cm="1">
        <f t="array" ref="E810">_xlfn.IFS(F810="","",G809&lt;F809,G809*calcs!$H$3,$D$8&lt;=0,$M$3-F810,$D$8&gt;0,$M$3-F810+$D$8,G809&lt;F809,G810*calcs!$H$3)</f>
        <v/>
      </c>
      <c r="F810" s="27" t="str" cm="1">
        <f t="array" ref="F810">_xlfn.IFS(F809="","",G809=0,"",G809&lt;1,"",G809&lt;F809,G809,AND(G809&gt;0,$D$8&gt;0),$D$8+($M$3-(G809*calcs!$H$3)),G809&gt;0,$M$3-(G809*calcs!$H$3))</f>
        <v/>
      </c>
      <c r="G810" s="27" t="str" cm="1">
        <f t="array" ref="G810">_xlfn.IFS(F810="","",G809-F810&lt;1,0,ISBLANK(F810)=TRUE,"",G809-F810&gt;1,G809-F810)</f>
        <v/>
      </c>
      <c r="H810" s="31" t="str">
        <f t="shared" si="13"/>
        <v/>
      </c>
      <c r="I810" s="2" t="str" cm="1">
        <f t="array" ref="I810">_xlfn.IFS(OR(D810="",E810="",F810=""),"",MOD(D810,12)&lt;&gt;0,"",MOD(D810,12)=0,"Year End"&amp;" "&amp;D810/12)</f>
        <v/>
      </c>
      <c r="V810">
        <v>799</v>
      </c>
    </row>
    <row r="811" spans="4:22">
      <c r="D811" s="32" t="str">
        <f>IF(V811&lt;=calcs!$F$4,'Loan Calculator'!V811,"")</f>
        <v/>
      </c>
      <c r="E811" s="29" t="str" cm="1">
        <f t="array" ref="E811">_xlfn.IFS(F811="","",G810&lt;F810,G810*calcs!$H$3,$D$8&lt;=0,$M$3-F811,$D$8&gt;0,$M$3-F811+$D$8,G810&lt;F810,G811*calcs!$H$3)</f>
        <v/>
      </c>
      <c r="F811" s="29" t="str" cm="1">
        <f t="array" ref="F811">_xlfn.IFS(F810="","",G810=0,"",G810&lt;1,"",G810&lt;F810,G810,AND(G810&gt;0,$D$8&gt;0),$D$8+($M$3-(G810*calcs!$H$3)),G810&gt;0,$M$3-(G810*calcs!$H$3))</f>
        <v/>
      </c>
      <c r="G811" s="29" t="str" cm="1">
        <f t="array" ref="G811">_xlfn.IFS(F811="","",G810-F811&lt;1,0,ISBLANK(F811)=TRUE,"",G810-F811&gt;1,G810-F811)</f>
        <v/>
      </c>
      <c r="H811" s="33" t="str">
        <f t="shared" si="13"/>
        <v/>
      </c>
      <c r="I811" s="2" t="str" cm="1">
        <f t="array" ref="I811">_xlfn.IFS(OR(D811="",E811="",F811=""),"",MOD(D811,12)&lt;&gt;0,"",MOD(D811,12)=0,"Year End"&amp;" "&amp;D811/12)</f>
        <v/>
      </c>
      <c r="V811">
        <v>800</v>
      </c>
    </row>
    <row r="812" spans="4:22">
      <c r="D812" s="30" t="str">
        <f>IF(V812&lt;=calcs!$F$4,'Loan Calculator'!V812,"")</f>
        <v/>
      </c>
      <c r="E812" s="27" t="str" cm="1">
        <f t="array" ref="E812">_xlfn.IFS(F812="","",G811&lt;F811,G811*calcs!$H$3,$D$8&lt;=0,$M$3-F812,$D$8&gt;0,$M$3-F812+$D$8,G811&lt;F811,G812*calcs!$H$3)</f>
        <v/>
      </c>
      <c r="F812" s="27" t="str" cm="1">
        <f t="array" ref="F812">_xlfn.IFS(F811="","",G811=0,"",G811&lt;1,"",G811&lt;F811,G811,AND(G811&gt;0,$D$8&gt;0),$D$8+($M$3-(G811*calcs!$H$3)),G811&gt;0,$M$3-(G811*calcs!$H$3))</f>
        <v/>
      </c>
      <c r="G812" s="27" t="str" cm="1">
        <f t="array" ref="G812">_xlfn.IFS(F812="","",G811-F812&lt;1,0,ISBLANK(F812)=TRUE,"",G811-F812&gt;1,G811-F812)</f>
        <v/>
      </c>
      <c r="H812" s="31" t="str">
        <f t="shared" si="13"/>
        <v/>
      </c>
      <c r="I812" s="2" t="str" cm="1">
        <f t="array" ref="I812">_xlfn.IFS(OR(D812="",E812="",F812=""),"",MOD(D812,12)&lt;&gt;0,"",MOD(D812,12)=0,"Year End"&amp;" "&amp;D812/12)</f>
        <v/>
      </c>
      <c r="V812">
        <v>801</v>
      </c>
    </row>
    <row r="813" spans="4:22">
      <c r="D813" s="32" t="str">
        <f>IF(V813&lt;=calcs!$F$4,'Loan Calculator'!V813,"")</f>
        <v/>
      </c>
      <c r="E813" s="29" t="str" cm="1">
        <f t="array" ref="E813">_xlfn.IFS(F813="","",G812&lt;F812,G812*calcs!$H$3,$D$8&lt;=0,$M$3-F813,$D$8&gt;0,$M$3-F813+$D$8,G812&lt;F812,G813*calcs!$H$3)</f>
        <v/>
      </c>
      <c r="F813" s="29" t="str" cm="1">
        <f t="array" ref="F813">_xlfn.IFS(F812="","",G812=0,"",G812&lt;1,"",G812&lt;F812,G812,AND(G812&gt;0,$D$8&gt;0),$D$8+($M$3-(G812*calcs!$H$3)),G812&gt;0,$M$3-(G812*calcs!$H$3))</f>
        <v/>
      </c>
      <c r="G813" s="29" t="str" cm="1">
        <f t="array" ref="G813">_xlfn.IFS(F813="","",G812-F813&lt;1,0,ISBLANK(F813)=TRUE,"",G812-F813&gt;1,G812-F813)</f>
        <v/>
      </c>
      <c r="H813" s="33" t="str">
        <f t="shared" si="13"/>
        <v/>
      </c>
      <c r="I813" s="2" t="str" cm="1">
        <f t="array" ref="I813">_xlfn.IFS(OR(D813="",E813="",F813=""),"",MOD(D813,12)&lt;&gt;0,"",MOD(D813,12)=0,"Year End"&amp;" "&amp;D813/12)</f>
        <v/>
      </c>
      <c r="V813">
        <v>802</v>
      </c>
    </row>
    <row r="814" spans="4:22">
      <c r="D814" s="30" t="str">
        <f>IF(V814&lt;=calcs!$F$4,'Loan Calculator'!V814,"")</f>
        <v/>
      </c>
      <c r="E814" s="27" t="str" cm="1">
        <f t="array" ref="E814">_xlfn.IFS(F814="","",G813&lt;F813,G813*calcs!$H$3,$D$8&lt;=0,$M$3-F814,$D$8&gt;0,$M$3-F814+$D$8,G813&lt;F813,G814*calcs!$H$3)</f>
        <v/>
      </c>
      <c r="F814" s="27" t="str" cm="1">
        <f t="array" ref="F814">_xlfn.IFS(F813="","",G813=0,"",G813&lt;1,"",G813&lt;F813,G813,AND(G813&gt;0,$D$8&gt;0),$D$8+($M$3-(G813*calcs!$H$3)),G813&gt;0,$M$3-(G813*calcs!$H$3))</f>
        <v/>
      </c>
      <c r="G814" s="27" t="str" cm="1">
        <f t="array" ref="G814">_xlfn.IFS(F814="","",G813-F814&lt;1,0,ISBLANK(F814)=TRUE,"",G813-F814&gt;1,G813-F814)</f>
        <v/>
      </c>
      <c r="H814" s="31" t="str">
        <f t="shared" si="13"/>
        <v/>
      </c>
      <c r="I814" s="2" t="str" cm="1">
        <f t="array" ref="I814">_xlfn.IFS(OR(D814="",E814="",F814=""),"",MOD(D814,12)&lt;&gt;0,"",MOD(D814,12)=0,"Year End"&amp;" "&amp;D814/12)</f>
        <v/>
      </c>
      <c r="V814">
        <v>803</v>
      </c>
    </row>
    <row r="815" spans="4:22">
      <c r="D815" s="32" t="str">
        <f>IF(V815&lt;=calcs!$F$4,'Loan Calculator'!V815,"")</f>
        <v/>
      </c>
      <c r="E815" s="29" t="str" cm="1">
        <f t="array" ref="E815">_xlfn.IFS(F815="","",G814&lt;F814,G814*calcs!$H$3,$D$8&lt;=0,$M$3-F815,$D$8&gt;0,$M$3-F815+$D$8,G814&lt;F814,G815*calcs!$H$3)</f>
        <v/>
      </c>
      <c r="F815" s="29" t="str" cm="1">
        <f t="array" ref="F815">_xlfn.IFS(F814="","",G814=0,"",G814&lt;1,"",G814&lt;F814,G814,AND(G814&gt;0,$D$8&gt;0),$D$8+($M$3-(G814*calcs!$H$3)),G814&gt;0,$M$3-(G814*calcs!$H$3))</f>
        <v/>
      </c>
      <c r="G815" s="29" t="str" cm="1">
        <f t="array" ref="G815">_xlfn.IFS(F815="","",G814-F815&lt;1,0,ISBLANK(F815)=TRUE,"",G814-F815&gt;1,G814-F815)</f>
        <v/>
      </c>
      <c r="H815" s="33" t="str">
        <f t="shared" si="13"/>
        <v/>
      </c>
      <c r="I815" s="2" t="str" cm="1">
        <f t="array" ref="I815">_xlfn.IFS(OR(D815="",E815="",F815=""),"",MOD(D815,12)&lt;&gt;0,"",MOD(D815,12)=0,"Year End"&amp;" "&amp;D815/12)</f>
        <v/>
      </c>
      <c r="V815">
        <v>804</v>
      </c>
    </row>
    <row r="816" spans="4:22">
      <c r="D816" s="30" t="str">
        <f>IF(V816&lt;=calcs!$F$4,'Loan Calculator'!V816,"")</f>
        <v/>
      </c>
      <c r="E816" s="27" t="str" cm="1">
        <f t="array" ref="E816">_xlfn.IFS(F816="","",G815&lt;F815,G815*calcs!$H$3,$D$8&lt;=0,$M$3-F816,$D$8&gt;0,$M$3-F816+$D$8,G815&lt;F815,G816*calcs!$H$3)</f>
        <v/>
      </c>
      <c r="F816" s="27" t="str" cm="1">
        <f t="array" ref="F816">_xlfn.IFS(F815="","",G815=0,"",G815&lt;1,"",G815&lt;F815,G815,AND(G815&gt;0,$D$8&gt;0),$D$8+($M$3-(G815*calcs!$H$3)),G815&gt;0,$M$3-(G815*calcs!$H$3))</f>
        <v/>
      </c>
      <c r="G816" s="27" t="str" cm="1">
        <f t="array" ref="G816">_xlfn.IFS(F816="","",G815-F816&lt;1,0,ISBLANK(F816)=TRUE,"",G815-F816&gt;1,G815-F816)</f>
        <v/>
      </c>
      <c r="H816" s="31" t="str">
        <f t="shared" si="13"/>
        <v/>
      </c>
      <c r="I816" s="2" t="str" cm="1">
        <f t="array" ref="I816">_xlfn.IFS(OR(D816="",E816="",F816=""),"",MOD(D816,12)&lt;&gt;0,"",MOD(D816,12)=0,"Year End"&amp;" "&amp;D816/12)</f>
        <v/>
      </c>
      <c r="V816">
        <v>805</v>
      </c>
    </row>
    <row r="817" spans="4:22">
      <c r="D817" s="32" t="str">
        <f>IF(V817&lt;=calcs!$F$4,'Loan Calculator'!V817,"")</f>
        <v/>
      </c>
      <c r="E817" s="29" t="str" cm="1">
        <f t="array" ref="E817">_xlfn.IFS(F817="","",G816&lt;F816,G816*calcs!$H$3,$D$8&lt;=0,$M$3-F817,$D$8&gt;0,$M$3-F817+$D$8,G816&lt;F816,G817*calcs!$H$3)</f>
        <v/>
      </c>
      <c r="F817" s="29" t="str" cm="1">
        <f t="array" ref="F817">_xlfn.IFS(F816="","",G816=0,"",G816&lt;1,"",G816&lt;F816,G816,AND(G816&gt;0,$D$8&gt;0),$D$8+($M$3-(G816*calcs!$H$3)),G816&gt;0,$M$3-(G816*calcs!$H$3))</f>
        <v/>
      </c>
      <c r="G817" s="29" t="str" cm="1">
        <f t="array" ref="G817">_xlfn.IFS(F817="","",G816-F817&lt;1,0,ISBLANK(F817)=TRUE,"",G816-F817&gt;1,G816-F817)</f>
        <v/>
      </c>
      <c r="H817" s="33" t="str">
        <f t="shared" si="13"/>
        <v/>
      </c>
      <c r="I817" s="2" t="str" cm="1">
        <f t="array" ref="I817">_xlfn.IFS(OR(D817="",E817="",F817=""),"",MOD(D817,12)&lt;&gt;0,"",MOD(D817,12)=0,"Year End"&amp;" "&amp;D817/12)</f>
        <v/>
      </c>
      <c r="V817">
        <v>806</v>
      </c>
    </row>
    <row r="818" spans="4:22">
      <c r="D818" s="30" t="str">
        <f>IF(V818&lt;=calcs!$F$4,'Loan Calculator'!V818,"")</f>
        <v/>
      </c>
      <c r="E818" s="27" t="str" cm="1">
        <f t="array" ref="E818">_xlfn.IFS(F818="","",G817&lt;F817,G817*calcs!$H$3,$D$8&lt;=0,$M$3-F818,$D$8&gt;0,$M$3-F818+$D$8,G817&lt;F817,G818*calcs!$H$3)</f>
        <v/>
      </c>
      <c r="F818" s="27" t="str" cm="1">
        <f t="array" ref="F818">_xlfn.IFS(F817="","",G817=0,"",G817&lt;1,"",G817&lt;F817,G817,AND(G817&gt;0,$D$8&gt;0),$D$8+($M$3-(G817*calcs!$H$3)),G817&gt;0,$M$3-(G817*calcs!$H$3))</f>
        <v/>
      </c>
      <c r="G818" s="27" t="str" cm="1">
        <f t="array" ref="G818">_xlfn.IFS(F818="","",G817-F818&lt;1,0,ISBLANK(F818)=TRUE,"",G817-F818&gt;1,G817-F818)</f>
        <v/>
      </c>
      <c r="H818" s="31" t="str">
        <f t="shared" si="13"/>
        <v/>
      </c>
      <c r="I818" s="2" t="str" cm="1">
        <f t="array" ref="I818">_xlfn.IFS(OR(D818="",E818="",F818=""),"",MOD(D818,12)&lt;&gt;0,"",MOD(D818,12)=0,"Year End"&amp;" "&amp;D818/12)</f>
        <v/>
      </c>
      <c r="V818">
        <v>807</v>
      </c>
    </row>
    <row r="819" spans="4:22">
      <c r="D819" s="32" t="str">
        <f>IF(V819&lt;=calcs!$F$4,'Loan Calculator'!V819,"")</f>
        <v/>
      </c>
      <c r="E819" s="29" t="str" cm="1">
        <f t="array" ref="E819">_xlfn.IFS(F819="","",G818&lt;F818,G818*calcs!$H$3,$D$8&lt;=0,$M$3-F819,$D$8&gt;0,$M$3-F819+$D$8,G818&lt;F818,G819*calcs!$H$3)</f>
        <v/>
      </c>
      <c r="F819" s="29" t="str" cm="1">
        <f t="array" ref="F819">_xlfn.IFS(F818="","",G818=0,"",G818&lt;1,"",G818&lt;F818,G818,AND(G818&gt;0,$D$8&gt;0),$D$8+($M$3-(G818*calcs!$H$3)),G818&gt;0,$M$3-(G818*calcs!$H$3))</f>
        <v/>
      </c>
      <c r="G819" s="29" t="str" cm="1">
        <f t="array" ref="G819">_xlfn.IFS(F819="","",G818-F819&lt;1,0,ISBLANK(F819)=TRUE,"",G818-F819&gt;1,G818-F819)</f>
        <v/>
      </c>
      <c r="H819" s="33" t="str">
        <f t="shared" si="13"/>
        <v/>
      </c>
      <c r="I819" s="2" t="str" cm="1">
        <f t="array" ref="I819">_xlfn.IFS(OR(D819="",E819="",F819=""),"",MOD(D819,12)&lt;&gt;0,"",MOD(D819,12)=0,"Year End"&amp;" "&amp;D819/12)</f>
        <v/>
      </c>
      <c r="V819">
        <v>808</v>
      </c>
    </row>
    <row r="820" spans="4:22">
      <c r="D820" s="30" t="str">
        <f>IF(V820&lt;=calcs!$F$4,'Loan Calculator'!V820,"")</f>
        <v/>
      </c>
      <c r="E820" s="27" t="str" cm="1">
        <f t="array" ref="E820">_xlfn.IFS(F820="","",G819&lt;F819,G819*calcs!$H$3,$D$8&lt;=0,$M$3-F820,$D$8&gt;0,$M$3-F820+$D$8,G819&lt;F819,G820*calcs!$H$3)</f>
        <v/>
      </c>
      <c r="F820" s="27" t="str" cm="1">
        <f t="array" ref="F820">_xlfn.IFS(F819="","",G819=0,"",G819&lt;1,"",G819&lt;F819,G819,AND(G819&gt;0,$D$8&gt;0),$D$8+($M$3-(G819*calcs!$H$3)),G819&gt;0,$M$3-(G819*calcs!$H$3))</f>
        <v/>
      </c>
      <c r="G820" s="27" t="str" cm="1">
        <f t="array" ref="G820">_xlfn.IFS(F820="","",G819-F820&lt;1,0,ISBLANK(F820)=TRUE,"",G819-F820&gt;1,G819-F820)</f>
        <v/>
      </c>
      <c r="H820" s="31" t="str">
        <f t="shared" si="13"/>
        <v/>
      </c>
      <c r="I820" s="2" t="str" cm="1">
        <f t="array" ref="I820">_xlfn.IFS(OR(D820="",E820="",F820=""),"",MOD(D820,12)&lt;&gt;0,"",MOD(D820,12)=0,"Year End"&amp;" "&amp;D820/12)</f>
        <v/>
      </c>
      <c r="V820">
        <v>809</v>
      </c>
    </row>
    <row r="821" spans="4:22">
      <c r="D821" s="32" t="str">
        <f>IF(V821&lt;=calcs!$F$4,'Loan Calculator'!V821,"")</f>
        <v/>
      </c>
      <c r="E821" s="29" t="str" cm="1">
        <f t="array" ref="E821">_xlfn.IFS(F821="","",G820&lt;F820,G820*calcs!$H$3,$D$8&lt;=0,$M$3-F821,$D$8&gt;0,$M$3-F821+$D$8,G820&lt;F820,G821*calcs!$H$3)</f>
        <v/>
      </c>
      <c r="F821" s="29" t="str" cm="1">
        <f t="array" ref="F821">_xlfn.IFS(F820="","",G820=0,"",G820&lt;1,"",G820&lt;F820,G820,AND(G820&gt;0,$D$8&gt;0),$D$8+($M$3-(G820*calcs!$H$3)),G820&gt;0,$M$3-(G820*calcs!$H$3))</f>
        <v/>
      </c>
      <c r="G821" s="29" t="str" cm="1">
        <f t="array" ref="G821">_xlfn.IFS(F821="","",G820-F821&lt;1,0,ISBLANK(F821)=TRUE,"",G820-F821&gt;1,G820-F821)</f>
        <v/>
      </c>
      <c r="H821" s="33" t="str">
        <f t="shared" si="13"/>
        <v/>
      </c>
      <c r="I821" s="2" t="str" cm="1">
        <f t="array" ref="I821">_xlfn.IFS(OR(D821="",E821="",F821=""),"",MOD(D821,12)&lt;&gt;0,"",MOD(D821,12)=0,"Year End"&amp;" "&amp;D821/12)</f>
        <v/>
      </c>
      <c r="V821">
        <v>810</v>
      </c>
    </row>
    <row r="822" spans="4:22">
      <c r="D822" s="30" t="str">
        <f>IF(V822&lt;=calcs!$F$4,'Loan Calculator'!V822,"")</f>
        <v/>
      </c>
      <c r="E822" s="27" t="str" cm="1">
        <f t="array" ref="E822">_xlfn.IFS(F822="","",G821&lt;F821,G821*calcs!$H$3,$D$8&lt;=0,$M$3-F822,$D$8&gt;0,$M$3-F822+$D$8,G821&lt;F821,G822*calcs!$H$3)</f>
        <v/>
      </c>
      <c r="F822" s="27" t="str" cm="1">
        <f t="array" ref="F822">_xlfn.IFS(F821="","",G821=0,"",G821&lt;1,"",G821&lt;F821,G821,AND(G821&gt;0,$D$8&gt;0),$D$8+($M$3-(G821*calcs!$H$3)),G821&gt;0,$M$3-(G821*calcs!$H$3))</f>
        <v/>
      </c>
      <c r="G822" s="27" t="str" cm="1">
        <f t="array" ref="G822">_xlfn.IFS(F822="","",G821-F822&lt;1,0,ISBLANK(F822)=TRUE,"",G821-F822&gt;1,G821-F822)</f>
        <v/>
      </c>
      <c r="H822" s="31" t="str">
        <f t="shared" si="13"/>
        <v/>
      </c>
      <c r="I822" s="2" t="str" cm="1">
        <f t="array" ref="I822">_xlfn.IFS(OR(D822="",E822="",F822=""),"",MOD(D822,12)&lt;&gt;0,"",MOD(D822,12)=0,"Year End"&amp;" "&amp;D822/12)</f>
        <v/>
      </c>
      <c r="V822">
        <v>811</v>
      </c>
    </row>
    <row r="823" spans="4:22">
      <c r="D823" s="32" t="str">
        <f>IF(V823&lt;=calcs!$F$4,'Loan Calculator'!V823,"")</f>
        <v/>
      </c>
      <c r="E823" s="29" t="str" cm="1">
        <f t="array" ref="E823">_xlfn.IFS(F823="","",G822&lt;F822,G822*calcs!$H$3,$D$8&lt;=0,$M$3-F823,$D$8&gt;0,$M$3-F823+$D$8,G822&lt;F822,G823*calcs!$H$3)</f>
        <v/>
      </c>
      <c r="F823" s="29" t="str" cm="1">
        <f t="array" ref="F823">_xlfn.IFS(F822="","",G822=0,"",G822&lt;1,"",G822&lt;F822,G822,AND(G822&gt;0,$D$8&gt;0),$D$8+($M$3-(G822*calcs!$H$3)),G822&gt;0,$M$3-(G822*calcs!$H$3))</f>
        <v/>
      </c>
      <c r="G823" s="29" t="str" cm="1">
        <f t="array" ref="G823">_xlfn.IFS(F823="","",G822-F823&lt;1,0,ISBLANK(F823)=TRUE,"",G822-F823&gt;1,G822-F823)</f>
        <v/>
      </c>
      <c r="H823" s="33" t="str">
        <f t="shared" si="13"/>
        <v/>
      </c>
      <c r="I823" s="2" t="str" cm="1">
        <f t="array" ref="I823">_xlfn.IFS(OR(D823="",E823="",F823=""),"",MOD(D823,12)&lt;&gt;0,"",MOD(D823,12)=0,"Year End"&amp;" "&amp;D823/12)</f>
        <v/>
      </c>
      <c r="V823">
        <v>812</v>
      </c>
    </row>
    <row r="824" spans="4:22">
      <c r="D824" s="30" t="str">
        <f>IF(V824&lt;=calcs!$F$4,'Loan Calculator'!V824,"")</f>
        <v/>
      </c>
      <c r="E824" s="27" t="str" cm="1">
        <f t="array" ref="E824">_xlfn.IFS(F824="","",G823&lt;F823,G823*calcs!$H$3,$D$8&lt;=0,$M$3-F824,$D$8&gt;0,$M$3-F824+$D$8,G823&lt;F823,G824*calcs!$H$3)</f>
        <v/>
      </c>
      <c r="F824" s="27" t="str" cm="1">
        <f t="array" ref="F824">_xlfn.IFS(F823="","",G823=0,"",G823&lt;1,"",G823&lt;F823,G823,AND(G823&gt;0,$D$8&gt;0),$D$8+($M$3-(G823*calcs!$H$3)),G823&gt;0,$M$3-(G823*calcs!$H$3))</f>
        <v/>
      </c>
      <c r="G824" s="27" t="str" cm="1">
        <f t="array" ref="G824">_xlfn.IFS(F824="","",G823-F824&lt;1,0,ISBLANK(F824)=TRUE,"",G823-F824&gt;1,G823-F824)</f>
        <v/>
      </c>
      <c r="H824" s="31" t="str">
        <f t="shared" si="13"/>
        <v/>
      </c>
      <c r="I824" s="2" t="str" cm="1">
        <f t="array" ref="I824">_xlfn.IFS(OR(D824="",E824="",F824=""),"",MOD(D824,12)&lt;&gt;0,"",MOD(D824,12)=0,"Year End"&amp;" "&amp;D824/12)</f>
        <v/>
      </c>
      <c r="V824">
        <v>813</v>
      </c>
    </row>
    <row r="825" spans="4:22">
      <c r="D825" s="32" t="str">
        <f>IF(V825&lt;=calcs!$F$4,'Loan Calculator'!V825,"")</f>
        <v/>
      </c>
      <c r="E825" s="29" t="str" cm="1">
        <f t="array" ref="E825">_xlfn.IFS(F825="","",G824&lt;F824,G824*calcs!$H$3,$D$8&lt;=0,$M$3-F825,$D$8&gt;0,$M$3-F825+$D$8,G824&lt;F824,G825*calcs!$H$3)</f>
        <v/>
      </c>
      <c r="F825" s="29" t="str" cm="1">
        <f t="array" ref="F825">_xlfn.IFS(F824="","",G824=0,"",G824&lt;1,"",G824&lt;F824,G824,AND(G824&gt;0,$D$8&gt;0),$D$8+($M$3-(G824*calcs!$H$3)),G824&gt;0,$M$3-(G824*calcs!$H$3))</f>
        <v/>
      </c>
      <c r="G825" s="29" t="str" cm="1">
        <f t="array" ref="G825">_xlfn.IFS(F825="","",G824-F825&lt;1,0,ISBLANK(F825)=TRUE,"",G824-F825&gt;1,G824-F825)</f>
        <v/>
      </c>
      <c r="H825" s="33" t="str">
        <f t="shared" si="13"/>
        <v/>
      </c>
      <c r="I825" s="2" t="str" cm="1">
        <f t="array" ref="I825">_xlfn.IFS(OR(D825="",E825="",F825=""),"",MOD(D825,12)&lt;&gt;0,"",MOD(D825,12)=0,"Year End"&amp;" "&amp;D825/12)</f>
        <v/>
      </c>
      <c r="V825">
        <v>814</v>
      </c>
    </row>
    <row r="826" spans="4:22">
      <c r="D826" s="30" t="str">
        <f>IF(V826&lt;=calcs!$F$4,'Loan Calculator'!V826,"")</f>
        <v/>
      </c>
      <c r="E826" s="27" t="str" cm="1">
        <f t="array" ref="E826">_xlfn.IFS(F826="","",G825&lt;F825,G825*calcs!$H$3,$D$8&lt;=0,$M$3-F826,$D$8&gt;0,$M$3-F826+$D$8,G825&lt;F825,G826*calcs!$H$3)</f>
        <v/>
      </c>
      <c r="F826" s="27" t="str" cm="1">
        <f t="array" ref="F826">_xlfn.IFS(F825="","",G825=0,"",G825&lt;1,"",G825&lt;F825,G825,AND(G825&gt;0,$D$8&gt;0),$D$8+($M$3-(G825*calcs!$H$3)),G825&gt;0,$M$3-(G825*calcs!$H$3))</f>
        <v/>
      </c>
      <c r="G826" s="27" t="str" cm="1">
        <f t="array" ref="G826">_xlfn.IFS(F826="","",G825-F826&lt;1,0,ISBLANK(F826)=TRUE,"",G825-F826&gt;1,G825-F826)</f>
        <v/>
      </c>
      <c r="H826" s="31" t="str">
        <f t="shared" si="13"/>
        <v/>
      </c>
      <c r="I826" s="2" t="str" cm="1">
        <f t="array" ref="I826">_xlfn.IFS(OR(D826="",E826="",F826=""),"",MOD(D826,12)&lt;&gt;0,"",MOD(D826,12)=0,"Year End"&amp;" "&amp;D826/12)</f>
        <v/>
      </c>
      <c r="V826">
        <v>815</v>
      </c>
    </row>
    <row r="827" spans="4:22">
      <c r="D827" s="32" t="str">
        <f>IF(V827&lt;=calcs!$F$4,'Loan Calculator'!V827,"")</f>
        <v/>
      </c>
      <c r="E827" s="29" t="str" cm="1">
        <f t="array" ref="E827">_xlfn.IFS(F827="","",G826&lt;F826,G826*calcs!$H$3,$D$8&lt;=0,$M$3-F827,$D$8&gt;0,$M$3-F827+$D$8,G826&lt;F826,G827*calcs!$H$3)</f>
        <v/>
      </c>
      <c r="F827" s="29" t="str" cm="1">
        <f t="array" ref="F827">_xlfn.IFS(F826="","",G826=0,"",G826&lt;1,"",G826&lt;F826,G826,AND(G826&gt;0,$D$8&gt;0),$D$8+($M$3-(G826*calcs!$H$3)),G826&gt;0,$M$3-(G826*calcs!$H$3))</f>
        <v/>
      </c>
      <c r="G827" s="29" t="str" cm="1">
        <f t="array" ref="G827">_xlfn.IFS(F827="","",G826-F827&lt;1,0,ISBLANK(F827)=TRUE,"",G826-F827&gt;1,G826-F827)</f>
        <v/>
      </c>
      <c r="H827" s="33" t="str">
        <f t="shared" si="13"/>
        <v/>
      </c>
      <c r="I827" s="2" t="str" cm="1">
        <f t="array" ref="I827">_xlfn.IFS(OR(D827="",E827="",F827=""),"",MOD(D827,12)&lt;&gt;0,"",MOD(D827,12)=0,"Year End"&amp;" "&amp;D827/12)</f>
        <v/>
      </c>
      <c r="V827">
        <v>816</v>
      </c>
    </row>
    <row r="828" spans="4:22">
      <c r="D828" s="30" t="str">
        <f>IF(V828&lt;=calcs!$F$4,'Loan Calculator'!V828,"")</f>
        <v/>
      </c>
      <c r="E828" s="27" t="str" cm="1">
        <f t="array" ref="E828">_xlfn.IFS(F828="","",G827&lt;F827,G827*calcs!$H$3,$D$8&lt;=0,$M$3-F828,$D$8&gt;0,$M$3-F828+$D$8,G827&lt;F827,G828*calcs!$H$3)</f>
        <v/>
      </c>
      <c r="F828" s="27" t="str" cm="1">
        <f t="array" ref="F828">_xlfn.IFS(F827="","",G827=0,"",G827&lt;1,"",G827&lt;F827,G827,AND(G827&gt;0,$D$8&gt;0),$D$8+($M$3-(G827*calcs!$H$3)),G827&gt;0,$M$3-(G827*calcs!$H$3))</f>
        <v/>
      </c>
      <c r="G828" s="27" t="str" cm="1">
        <f t="array" ref="G828">_xlfn.IFS(F828="","",G827-F828&lt;1,0,ISBLANK(F828)=TRUE,"",G827-F828&gt;1,G827-F828)</f>
        <v/>
      </c>
      <c r="H828" s="31" t="str">
        <f t="shared" si="13"/>
        <v/>
      </c>
      <c r="I828" s="2" t="str" cm="1">
        <f t="array" ref="I828">_xlfn.IFS(OR(D828="",E828="",F828=""),"",MOD(D828,12)&lt;&gt;0,"",MOD(D828,12)=0,"Year End"&amp;" "&amp;D828/12)</f>
        <v/>
      </c>
      <c r="V828">
        <v>817</v>
      </c>
    </row>
    <row r="829" spans="4:22">
      <c r="D829" s="32" t="str">
        <f>IF(V829&lt;=calcs!$F$4,'Loan Calculator'!V829,"")</f>
        <v/>
      </c>
      <c r="E829" s="29" t="str" cm="1">
        <f t="array" ref="E829">_xlfn.IFS(F829="","",G828&lt;F828,G828*calcs!$H$3,$D$8&lt;=0,$M$3-F829,$D$8&gt;0,$M$3-F829+$D$8,G828&lt;F828,G829*calcs!$H$3)</f>
        <v/>
      </c>
      <c r="F829" s="29" t="str" cm="1">
        <f t="array" ref="F829">_xlfn.IFS(F828="","",G828=0,"",G828&lt;1,"",G828&lt;F828,G828,AND(G828&gt;0,$D$8&gt;0),$D$8+($M$3-(G828*calcs!$H$3)),G828&gt;0,$M$3-(G828*calcs!$H$3))</f>
        <v/>
      </c>
      <c r="G829" s="29" t="str" cm="1">
        <f t="array" ref="G829">_xlfn.IFS(F829="","",G828-F829&lt;1,0,ISBLANK(F829)=TRUE,"",G828-F829&gt;1,G828-F829)</f>
        <v/>
      </c>
      <c r="H829" s="33" t="str">
        <f t="shared" si="13"/>
        <v/>
      </c>
      <c r="I829" s="2" t="str" cm="1">
        <f t="array" ref="I829">_xlfn.IFS(OR(D829="",E829="",F829=""),"",MOD(D829,12)&lt;&gt;0,"",MOD(D829,12)=0,"Year End"&amp;" "&amp;D829/12)</f>
        <v/>
      </c>
      <c r="V829">
        <v>818</v>
      </c>
    </row>
    <row r="830" spans="4:22">
      <c r="D830" s="30" t="str">
        <f>IF(V830&lt;=calcs!$F$4,'Loan Calculator'!V830,"")</f>
        <v/>
      </c>
      <c r="E830" s="27" t="str" cm="1">
        <f t="array" ref="E830">_xlfn.IFS(F830="","",G829&lt;F829,G829*calcs!$H$3,$D$8&lt;=0,$M$3-F830,$D$8&gt;0,$M$3-F830+$D$8,G829&lt;F829,G830*calcs!$H$3)</f>
        <v/>
      </c>
      <c r="F830" s="27" t="str" cm="1">
        <f t="array" ref="F830">_xlfn.IFS(F829="","",G829=0,"",G829&lt;1,"",G829&lt;F829,G829,AND(G829&gt;0,$D$8&gt;0),$D$8+($M$3-(G829*calcs!$H$3)),G829&gt;0,$M$3-(G829*calcs!$H$3))</f>
        <v/>
      </c>
      <c r="G830" s="27" t="str" cm="1">
        <f t="array" ref="G830">_xlfn.IFS(F830="","",G829-F830&lt;1,0,ISBLANK(F830)=TRUE,"",G829-F830&gt;1,G829-F830)</f>
        <v/>
      </c>
      <c r="H830" s="31" t="str">
        <f t="shared" si="13"/>
        <v/>
      </c>
      <c r="I830" s="2" t="str" cm="1">
        <f t="array" ref="I830">_xlfn.IFS(OR(D830="",E830="",F830=""),"",MOD(D830,12)&lt;&gt;0,"",MOD(D830,12)=0,"Year End"&amp;" "&amp;D830/12)</f>
        <v/>
      </c>
      <c r="V830">
        <v>819</v>
      </c>
    </row>
    <row r="831" spans="4:22">
      <c r="D831" s="32" t="str">
        <f>IF(V831&lt;=calcs!$F$4,'Loan Calculator'!V831,"")</f>
        <v/>
      </c>
      <c r="E831" s="29" t="str" cm="1">
        <f t="array" ref="E831">_xlfn.IFS(F831="","",G830&lt;F830,G830*calcs!$H$3,$D$8&lt;=0,$M$3-F831,$D$8&gt;0,$M$3-F831+$D$8,G830&lt;F830,G831*calcs!$H$3)</f>
        <v/>
      </c>
      <c r="F831" s="29" t="str" cm="1">
        <f t="array" ref="F831">_xlfn.IFS(F830="","",G830=0,"",G830&lt;1,"",G830&lt;F830,G830,AND(G830&gt;0,$D$8&gt;0),$D$8+($M$3-(G830*calcs!$H$3)),G830&gt;0,$M$3-(G830*calcs!$H$3))</f>
        <v/>
      </c>
      <c r="G831" s="29" t="str" cm="1">
        <f t="array" ref="G831">_xlfn.IFS(F831="","",G830-F831&lt;1,0,ISBLANK(F831)=TRUE,"",G830-F831&gt;1,G830-F831)</f>
        <v/>
      </c>
      <c r="H831" s="33" t="str">
        <f t="shared" si="13"/>
        <v/>
      </c>
      <c r="I831" s="2" t="str" cm="1">
        <f t="array" ref="I831">_xlfn.IFS(OR(D831="",E831="",F831=""),"",MOD(D831,12)&lt;&gt;0,"",MOD(D831,12)=0,"Year End"&amp;" "&amp;D831/12)</f>
        <v/>
      </c>
      <c r="V831">
        <v>820</v>
      </c>
    </row>
    <row r="832" spans="4:22">
      <c r="D832" s="30" t="str">
        <f>IF(V832&lt;=calcs!$F$4,'Loan Calculator'!V832,"")</f>
        <v/>
      </c>
      <c r="E832" s="27" t="str" cm="1">
        <f t="array" ref="E832">_xlfn.IFS(F832="","",G831&lt;F831,G831*calcs!$H$3,$D$8&lt;=0,$M$3-F832,$D$8&gt;0,$M$3-F832+$D$8,G831&lt;F831,G832*calcs!$H$3)</f>
        <v/>
      </c>
      <c r="F832" s="27" t="str" cm="1">
        <f t="array" ref="F832">_xlfn.IFS(F831="","",G831=0,"",G831&lt;1,"",G831&lt;F831,G831,AND(G831&gt;0,$D$8&gt;0),$D$8+($M$3-(G831*calcs!$H$3)),G831&gt;0,$M$3-(G831*calcs!$H$3))</f>
        <v/>
      </c>
      <c r="G832" s="27" t="str" cm="1">
        <f t="array" ref="G832">_xlfn.IFS(F832="","",G831-F832&lt;1,0,ISBLANK(F832)=TRUE,"",G831-F832&gt;1,G831-F832)</f>
        <v/>
      </c>
      <c r="H832" s="31" t="str">
        <f t="shared" si="13"/>
        <v/>
      </c>
      <c r="I832" s="2" t="str" cm="1">
        <f t="array" ref="I832">_xlfn.IFS(OR(D832="",E832="",F832=""),"",MOD(D832,12)&lt;&gt;0,"",MOD(D832,12)=0,"Year End"&amp;" "&amp;D832/12)</f>
        <v/>
      </c>
      <c r="V832">
        <v>821</v>
      </c>
    </row>
    <row r="833" spans="4:22">
      <c r="D833" s="32" t="str">
        <f>IF(V833&lt;=calcs!$F$4,'Loan Calculator'!V833,"")</f>
        <v/>
      </c>
      <c r="E833" s="29" t="str" cm="1">
        <f t="array" ref="E833">_xlfn.IFS(F833="","",G832&lt;F832,G832*calcs!$H$3,$D$8&lt;=0,$M$3-F833,$D$8&gt;0,$M$3-F833+$D$8,G832&lt;F832,G833*calcs!$H$3)</f>
        <v/>
      </c>
      <c r="F833" s="29" t="str" cm="1">
        <f t="array" ref="F833">_xlfn.IFS(F832="","",G832=0,"",G832&lt;1,"",G832&lt;F832,G832,AND(G832&gt;0,$D$8&gt;0),$D$8+($M$3-(G832*calcs!$H$3)),G832&gt;0,$M$3-(G832*calcs!$H$3))</f>
        <v/>
      </c>
      <c r="G833" s="29" t="str" cm="1">
        <f t="array" ref="G833">_xlfn.IFS(F833="","",G832-F833&lt;1,0,ISBLANK(F833)=TRUE,"",G832-F833&gt;1,G832-F833)</f>
        <v/>
      </c>
      <c r="H833" s="33" t="str">
        <f t="shared" si="13"/>
        <v/>
      </c>
      <c r="I833" s="2" t="str" cm="1">
        <f t="array" ref="I833">_xlfn.IFS(OR(D833="",E833="",F833=""),"",MOD(D833,12)&lt;&gt;0,"",MOD(D833,12)=0,"Year End"&amp;" "&amp;D833/12)</f>
        <v/>
      </c>
      <c r="V833">
        <v>822</v>
      </c>
    </row>
    <row r="834" spans="4:22">
      <c r="D834" s="30" t="str">
        <f>IF(V834&lt;=calcs!$F$4,'Loan Calculator'!V834,"")</f>
        <v/>
      </c>
      <c r="E834" s="27" t="str" cm="1">
        <f t="array" ref="E834">_xlfn.IFS(F834="","",G833&lt;F833,G833*calcs!$H$3,$D$8&lt;=0,$M$3-F834,$D$8&gt;0,$M$3-F834+$D$8,G833&lt;F833,G834*calcs!$H$3)</f>
        <v/>
      </c>
      <c r="F834" s="27" t="str" cm="1">
        <f t="array" ref="F834">_xlfn.IFS(F833="","",G833=0,"",G833&lt;1,"",G833&lt;F833,G833,AND(G833&gt;0,$D$8&gt;0),$D$8+($M$3-(G833*calcs!$H$3)),G833&gt;0,$M$3-(G833*calcs!$H$3))</f>
        <v/>
      </c>
      <c r="G834" s="27" t="str" cm="1">
        <f t="array" ref="G834">_xlfn.IFS(F834="","",G833-F834&lt;1,0,ISBLANK(F834)=TRUE,"",G833-F834&gt;1,G833-F834)</f>
        <v/>
      </c>
      <c r="H834" s="31" t="str">
        <f t="shared" si="13"/>
        <v/>
      </c>
      <c r="I834" s="2" t="str" cm="1">
        <f t="array" ref="I834">_xlfn.IFS(OR(D834="",E834="",F834=""),"",MOD(D834,12)&lt;&gt;0,"",MOD(D834,12)=0,"Year End"&amp;" "&amp;D834/12)</f>
        <v/>
      </c>
      <c r="V834">
        <v>823</v>
      </c>
    </row>
    <row r="835" spans="4:22">
      <c r="D835" s="32" t="str">
        <f>IF(V835&lt;=calcs!$F$4,'Loan Calculator'!V835,"")</f>
        <v/>
      </c>
      <c r="E835" s="29" t="str" cm="1">
        <f t="array" ref="E835">_xlfn.IFS(F835="","",G834&lt;F834,G834*calcs!$H$3,$D$8&lt;=0,$M$3-F835,$D$8&gt;0,$M$3-F835+$D$8,G834&lt;F834,G835*calcs!$H$3)</f>
        <v/>
      </c>
      <c r="F835" s="29" t="str" cm="1">
        <f t="array" ref="F835">_xlfn.IFS(F834="","",G834=0,"",G834&lt;1,"",G834&lt;F834,G834,AND(G834&gt;0,$D$8&gt;0),$D$8+($M$3-(G834*calcs!$H$3)),G834&gt;0,$M$3-(G834*calcs!$H$3))</f>
        <v/>
      </c>
      <c r="G835" s="29" t="str" cm="1">
        <f t="array" ref="G835">_xlfn.IFS(F835="","",G834-F835&lt;1,0,ISBLANK(F835)=TRUE,"",G834-F835&gt;1,G834-F835)</f>
        <v/>
      </c>
      <c r="H835" s="33" t="str">
        <f t="shared" si="13"/>
        <v/>
      </c>
      <c r="I835" s="2" t="str" cm="1">
        <f t="array" ref="I835">_xlfn.IFS(OR(D835="",E835="",F835=""),"",MOD(D835,12)&lt;&gt;0,"",MOD(D835,12)=0,"Year End"&amp;" "&amp;D835/12)</f>
        <v/>
      </c>
      <c r="V835">
        <v>824</v>
      </c>
    </row>
    <row r="836" spans="4:22">
      <c r="D836" s="30" t="str">
        <f>IF(V836&lt;=calcs!$F$4,'Loan Calculator'!V836,"")</f>
        <v/>
      </c>
      <c r="E836" s="27" t="str" cm="1">
        <f t="array" ref="E836">_xlfn.IFS(F836="","",G835&lt;F835,G835*calcs!$H$3,$D$8&lt;=0,$M$3-F836,$D$8&gt;0,$M$3-F836+$D$8,G835&lt;F835,G836*calcs!$H$3)</f>
        <v/>
      </c>
      <c r="F836" s="27" t="str" cm="1">
        <f t="array" ref="F836">_xlfn.IFS(F835="","",G835=0,"",G835&lt;1,"",G835&lt;F835,G835,AND(G835&gt;0,$D$8&gt;0),$D$8+($M$3-(G835*calcs!$H$3)),G835&gt;0,$M$3-(G835*calcs!$H$3))</f>
        <v/>
      </c>
      <c r="G836" s="27" t="str" cm="1">
        <f t="array" ref="G836">_xlfn.IFS(F836="","",G835-F836&lt;1,0,ISBLANK(F836)=TRUE,"",G835-F836&gt;1,G835-F836)</f>
        <v/>
      </c>
      <c r="H836" s="31" t="str">
        <f t="shared" si="13"/>
        <v/>
      </c>
      <c r="I836" s="2" t="str" cm="1">
        <f t="array" ref="I836">_xlfn.IFS(OR(D836="",E836="",F836=""),"",MOD(D836,12)&lt;&gt;0,"",MOD(D836,12)=0,"Year End"&amp;" "&amp;D836/12)</f>
        <v/>
      </c>
      <c r="V836">
        <v>825</v>
      </c>
    </row>
    <row r="837" spans="4:22">
      <c r="D837" s="32" t="str">
        <f>IF(V837&lt;=calcs!$F$4,'Loan Calculator'!V837,"")</f>
        <v/>
      </c>
      <c r="E837" s="29" t="str" cm="1">
        <f t="array" ref="E837">_xlfn.IFS(F837="","",G836&lt;F836,G836*calcs!$H$3,$D$8&lt;=0,$M$3-F837,$D$8&gt;0,$M$3-F837+$D$8,G836&lt;F836,G837*calcs!$H$3)</f>
        <v/>
      </c>
      <c r="F837" s="29" t="str" cm="1">
        <f t="array" ref="F837">_xlfn.IFS(F836="","",G836=0,"",G836&lt;1,"",G836&lt;F836,G836,AND(G836&gt;0,$D$8&gt;0),$D$8+($M$3-(G836*calcs!$H$3)),G836&gt;0,$M$3-(G836*calcs!$H$3))</f>
        <v/>
      </c>
      <c r="G837" s="29" t="str" cm="1">
        <f t="array" ref="G837">_xlfn.IFS(F837="","",G836-F837&lt;1,0,ISBLANK(F837)=TRUE,"",G836-F837&gt;1,G836-F837)</f>
        <v/>
      </c>
      <c r="H837" s="33" t="str">
        <f t="shared" si="13"/>
        <v/>
      </c>
      <c r="I837" s="2" t="str" cm="1">
        <f t="array" ref="I837">_xlfn.IFS(OR(D837="",E837="",F837=""),"",MOD(D837,12)&lt;&gt;0,"",MOD(D837,12)=0,"Year End"&amp;" "&amp;D837/12)</f>
        <v/>
      </c>
      <c r="V837">
        <v>826</v>
      </c>
    </row>
    <row r="838" spans="4:22">
      <c r="D838" s="30" t="str">
        <f>IF(V838&lt;=calcs!$F$4,'Loan Calculator'!V838,"")</f>
        <v/>
      </c>
      <c r="E838" s="27" t="str" cm="1">
        <f t="array" ref="E838">_xlfn.IFS(F838="","",G837&lt;F837,G837*calcs!$H$3,$D$8&lt;=0,$M$3-F838,$D$8&gt;0,$M$3-F838+$D$8,G837&lt;F837,G838*calcs!$H$3)</f>
        <v/>
      </c>
      <c r="F838" s="27" t="str" cm="1">
        <f t="array" ref="F838">_xlfn.IFS(F837="","",G837=0,"",G837&lt;1,"",G837&lt;F837,G837,AND(G837&gt;0,$D$8&gt;0),$D$8+($M$3-(G837*calcs!$H$3)),G837&gt;0,$M$3-(G837*calcs!$H$3))</f>
        <v/>
      </c>
      <c r="G838" s="27" t="str" cm="1">
        <f t="array" ref="G838">_xlfn.IFS(F838="","",G837-F838&lt;1,0,ISBLANK(F838)=TRUE,"",G837-F838&gt;1,G837-F838)</f>
        <v/>
      </c>
      <c r="H838" s="31" t="str">
        <f t="shared" si="13"/>
        <v/>
      </c>
      <c r="I838" s="2" t="str" cm="1">
        <f t="array" ref="I838">_xlfn.IFS(OR(D838="",E838="",F838=""),"",MOD(D838,12)&lt;&gt;0,"",MOD(D838,12)=0,"Year End"&amp;" "&amp;D838/12)</f>
        <v/>
      </c>
      <c r="V838">
        <v>827</v>
      </c>
    </row>
    <row r="839" spans="4:22">
      <c r="D839" s="32" t="str">
        <f>IF(V839&lt;=calcs!$F$4,'Loan Calculator'!V839,"")</f>
        <v/>
      </c>
      <c r="E839" s="29" t="str" cm="1">
        <f t="array" ref="E839">_xlfn.IFS(F839="","",G838&lt;F838,G838*calcs!$H$3,$D$8&lt;=0,$M$3-F839,$D$8&gt;0,$M$3-F839+$D$8,G838&lt;F838,G839*calcs!$H$3)</f>
        <v/>
      </c>
      <c r="F839" s="29" t="str" cm="1">
        <f t="array" ref="F839">_xlfn.IFS(F838="","",G838=0,"",G838&lt;1,"",G838&lt;F838,G838,AND(G838&gt;0,$D$8&gt;0),$D$8+($M$3-(G838*calcs!$H$3)),G838&gt;0,$M$3-(G838*calcs!$H$3))</f>
        <v/>
      </c>
      <c r="G839" s="29" t="str" cm="1">
        <f t="array" ref="G839">_xlfn.IFS(F839="","",G838-F839&lt;1,0,ISBLANK(F839)=TRUE,"",G838-F839&gt;1,G838-F839)</f>
        <v/>
      </c>
      <c r="H839" s="33" t="str">
        <f t="shared" si="13"/>
        <v/>
      </c>
      <c r="I839" s="2" t="str" cm="1">
        <f t="array" ref="I839">_xlfn.IFS(OR(D839="",E839="",F839=""),"",MOD(D839,12)&lt;&gt;0,"",MOD(D839,12)=0,"Year End"&amp;" "&amp;D839/12)</f>
        <v/>
      </c>
      <c r="V839">
        <v>828</v>
      </c>
    </row>
    <row r="840" spans="4:22">
      <c r="D840" s="30" t="str">
        <f>IF(V840&lt;=calcs!$F$4,'Loan Calculator'!V840,"")</f>
        <v/>
      </c>
      <c r="E840" s="27" t="str" cm="1">
        <f t="array" ref="E840">_xlfn.IFS(F840="","",G839&lt;F839,G839*calcs!$H$3,$D$8&lt;=0,$M$3-F840,$D$8&gt;0,$M$3-F840+$D$8,G839&lt;F839,G840*calcs!$H$3)</f>
        <v/>
      </c>
      <c r="F840" s="27" t="str" cm="1">
        <f t="array" ref="F840">_xlfn.IFS(F839="","",G839=0,"",G839&lt;1,"",G839&lt;F839,G839,AND(G839&gt;0,$D$8&gt;0),$D$8+($M$3-(G839*calcs!$H$3)),G839&gt;0,$M$3-(G839*calcs!$H$3))</f>
        <v/>
      </c>
      <c r="G840" s="27" t="str" cm="1">
        <f t="array" ref="G840">_xlfn.IFS(F840="","",G839-F840&lt;1,0,ISBLANK(F840)=TRUE,"",G839-F840&gt;1,G839-F840)</f>
        <v/>
      </c>
      <c r="H840" s="31" t="str">
        <f t="shared" si="13"/>
        <v/>
      </c>
      <c r="I840" s="2" t="str" cm="1">
        <f t="array" ref="I840">_xlfn.IFS(OR(D840="",E840="",F840=""),"",MOD(D840,12)&lt;&gt;0,"",MOD(D840,12)=0,"Year End"&amp;" "&amp;D840/12)</f>
        <v/>
      </c>
      <c r="V840">
        <v>829</v>
      </c>
    </row>
    <row r="841" spans="4:22">
      <c r="D841" s="32" t="str">
        <f>IF(V841&lt;=calcs!$F$4,'Loan Calculator'!V841,"")</f>
        <v/>
      </c>
      <c r="E841" s="29" t="str" cm="1">
        <f t="array" ref="E841">_xlfn.IFS(F841="","",G840&lt;F840,G840*calcs!$H$3,$D$8&lt;=0,$M$3-F841,$D$8&gt;0,$M$3-F841+$D$8,G840&lt;F840,G841*calcs!$H$3)</f>
        <v/>
      </c>
      <c r="F841" s="29" t="str" cm="1">
        <f t="array" ref="F841">_xlfn.IFS(F840="","",G840=0,"",G840&lt;1,"",G840&lt;F840,G840,AND(G840&gt;0,$D$8&gt;0),$D$8+($M$3-(G840*calcs!$H$3)),G840&gt;0,$M$3-(G840*calcs!$H$3))</f>
        <v/>
      </c>
      <c r="G841" s="29" t="str" cm="1">
        <f t="array" ref="G841">_xlfn.IFS(F841="","",G840-F841&lt;1,0,ISBLANK(F841)=TRUE,"",G840-F841&gt;1,G840-F841)</f>
        <v/>
      </c>
      <c r="H841" s="33" t="str">
        <f t="shared" si="13"/>
        <v/>
      </c>
      <c r="I841" s="2" t="str" cm="1">
        <f t="array" ref="I841">_xlfn.IFS(OR(D841="",E841="",F841=""),"",MOD(D841,12)&lt;&gt;0,"",MOD(D841,12)=0,"Year End"&amp;" "&amp;D841/12)</f>
        <v/>
      </c>
      <c r="V841">
        <v>830</v>
      </c>
    </row>
    <row r="842" spans="4:22">
      <c r="D842" s="30" t="str">
        <f>IF(V842&lt;=calcs!$F$4,'Loan Calculator'!V842,"")</f>
        <v/>
      </c>
      <c r="E842" s="27" t="str" cm="1">
        <f t="array" ref="E842">_xlfn.IFS(F842="","",G841&lt;F841,G841*calcs!$H$3,$D$8&lt;=0,$M$3-F842,$D$8&gt;0,$M$3-F842+$D$8,G841&lt;F841,G842*calcs!$H$3)</f>
        <v/>
      </c>
      <c r="F842" s="27" t="str" cm="1">
        <f t="array" ref="F842">_xlfn.IFS(F841="","",G841=0,"",G841&lt;1,"",G841&lt;F841,G841,AND(G841&gt;0,$D$8&gt;0),$D$8+($M$3-(G841*calcs!$H$3)),G841&gt;0,$M$3-(G841*calcs!$H$3))</f>
        <v/>
      </c>
      <c r="G842" s="27" t="str" cm="1">
        <f t="array" ref="G842">_xlfn.IFS(F842="","",G841-F842&lt;1,0,ISBLANK(F842)=TRUE,"",G841-F842&gt;1,G841-F842)</f>
        <v/>
      </c>
      <c r="H842" s="31" t="str">
        <f t="shared" si="13"/>
        <v/>
      </c>
      <c r="I842" s="2" t="str" cm="1">
        <f t="array" ref="I842">_xlfn.IFS(OR(D842="",E842="",F842=""),"",MOD(D842,12)&lt;&gt;0,"",MOD(D842,12)=0,"Year End"&amp;" "&amp;D842/12)</f>
        <v/>
      </c>
      <c r="V842">
        <v>831</v>
      </c>
    </row>
    <row r="843" spans="4:22">
      <c r="D843" s="32" t="str">
        <f>IF(V843&lt;=calcs!$F$4,'Loan Calculator'!V843,"")</f>
        <v/>
      </c>
      <c r="E843" s="29" t="str" cm="1">
        <f t="array" ref="E843">_xlfn.IFS(F843="","",G842&lt;F842,G842*calcs!$H$3,$D$8&lt;=0,$M$3-F843,$D$8&gt;0,$M$3-F843+$D$8,G842&lt;F842,G843*calcs!$H$3)</f>
        <v/>
      </c>
      <c r="F843" s="29" t="str" cm="1">
        <f t="array" ref="F843">_xlfn.IFS(F842="","",G842=0,"",G842&lt;1,"",G842&lt;F842,G842,AND(G842&gt;0,$D$8&gt;0),$D$8+($M$3-(G842*calcs!$H$3)),G842&gt;0,$M$3-(G842*calcs!$H$3))</f>
        <v/>
      </c>
      <c r="G843" s="29" t="str" cm="1">
        <f t="array" ref="G843">_xlfn.IFS(F843="","",G842-F843&lt;1,0,ISBLANK(F843)=TRUE,"",G842-F843&gt;1,G842-F843)</f>
        <v/>
      </c>
      <c r="H843" s="33" t="str">
        <f t="shared" si="13"/>
        <v/>
      </c>
      <c r="I843" s="2" t="str" cm="1">
        <f t="array" ref="I843">_xlfn.IFS(OR(D843="",E843="",F843=""),"",MOD(D843,12)&lt;&gt;0,"",MOD(D843,12)=0,"Year End"&amp;" "&amp;D843/12)</f>
        <v/>
      </c>
      <c r="V843">
        <v>832</v>
      </c>
    </row>
    <row r="844" spans="4:22">
      <c r="D844" s="30" t="str">
        <f>IF(V844&lt;=calcs!$F$4,'Loan Calculator'!V844,"")</f>
        <v/>
      </c>
      <c r="E844" s="27" t="str" cm="1">
        <f t="array" ref="E844">_xlfn.IFS(F844="","",G843&lt;F843,G843*calcs!$H$3,$D$8&lt;=0,$M$3-F844,$D$8&gt;0,$M$3-F844+$D$8,G843&lt;F843,G844*calcs!$H$3)</f>
        <v/>
      </c>
      <c r="F844" s="27" t="str" cm="1">
        <f t="array" ref="F844">_xlfn.IFS(F843="","",G843=0,"",G843&lt;1,"",G843&lt;F843,G843,AND(G843&gt;0,$D$8&gt;0),$D$8+($M$3-(G843*calcs!$H$3)),G843&gt;0,$M$3-(G843*calcs!$H$3))</f>
        <v/>
      </c>
      <c r="G844" s="27" t="str" cm="1">
        <f t="array" ref="G844">_xlfn.IFS(F844="","",G843-F844&lt;1,0,ISBLANK(F844)=TRUE,"",G843-F844&gt;1,G843-F844)</f>
        <v/>
      </c>
      <c r="H844" s="31" t="str">
        <f t="shared" si="13"/>
        <v/>
      </c>
      <c r="I844" s="2" t="str" cm="1">
        <f t="array" ref="I844">_xlfn.IFS(OR(D844="",E844="",F844=""),"",MOD(D844,12)&lt;&gt;0,"",MOD(D844,12)=0,"Year End"&amp;" "&amp;D844/12)</f>
        <v/>
      </c>
      <c r="V844">
        <v>833</v>
      </c>
    </row>
    <row r="845" spans="4:22">
      <c r="D845" s="32" t="str">
        <f>IF(V845&lt;=calcs!$F$4,'Loan Calculator'!V845,"")</f>
        <v/>
      </c>
      <c r="E845" s="29" t="str" cm="1">
        <f t="array" ref="E845">_xlfn.IFS(F845="","",G844&lt;F844,G844*calcs!$H$3,$D$8&lt;=0,$M$3-F845,$D$8&gt;0,$M$3-F845+$D$8,G844&lt;F844,G845*calcs!$H$3)</f>
        <v/>
      </c>
      <c r="F845" s="29" t="str" cm="1">
        <f t="array" ref="F845">_xlfn.IFS(F844="","",G844=0,"",G844&lt;1,"",G844&lt;F844,G844,AND(G844&gt;0,$D$8&gt;0),$D$8+($M$3-(G844*calcs!$H$3)),G844&gt;0,$M$3-(G844*calcs!$H$3))</f>
        <v/>
      </c>
      <c r="G845" s="29" t="str" cm="1">
        <f t="array" ref="G845">_xlfn.IFS(F845="","",G844-F845&lt;1,0,ISBLANK(F845)=TRUE,"",G844-F845&gt;1,G844-F845)</f>
        <v/>
      </c>
      <c r="H845" s="33" t="str">
        <f t="shared" si="13"/>
        <v/>
      </c>
      <c r="I845" s="2" t="str" cm="1">
        <f t="array" ref="I845">_xlfn.IFS(OR(D845="",E845="",F845=""),"",MOD(D845,12)&lt;&gt;0,"",MOD(D845,12)=0,"Year End"&amp;" "&amp;D845/12)</f>
        <v/>
      </c>
      <c r="V845">
        <v>834</v>
      </c>
    </row>
    <row r="846" spans="4:22">
      <c r="D846" s="30" t="str">
        <f>IF(V846&lt;=calcs!$F$4,'Loan Calculator'!V846,"")</f>
        <v/>
      </c>
      <c r="E846" s="27" t="str" cm="1">
        <f t="array" ref="E846">_xlfn.IFS(F846="","",G845&lt;F845,G845*calcs!$H$3,$D$8&lt;=0,$M$3-F846,$D$8&gt;0,$M$3-F846+$D$8,G845&lt;F845,G846*calcs!$H$3)</f>
        <v/>
      </c>
      <c r="F846" s="27" t="str" cm="1">
        <f t="array" ref="F846">_xlfn.IFS(F845="","",G845=0,"",G845&lt;1,"",G845&lt;F845,G845,AND(G845&gt;0,$D$8&gt;0),$D$8+($M$3-(G845*calcs!$H$3)),G845&gt;0,$M$3-(G845*calcs!$H$3))</f>
        <v/>
      </c>
      <c r="G846" s="27" t="str" cm="1">
        <f t="array" ref="G846">_xlfn.IFS(F846="","",G845-F846&lt;1,0,ISBLANK(F846)=TRUE,"",G845-F846&gt;1,G845-F846)</f>
        <v/>
      </c>
      <c r="H846" s="31" t="str">
        <f t="shared" ref="H846:H909" si="14">IF(OR(H845=0,H845="",E846="",F846=""),"",H845+E846+F846)</f>
        <v/>
      </c>
      <c r="I846" s="2" t="str" cm="1">
        <f t="array" ref="I846">_xlfn.IFS(OR(D846="",E846="",F846=""),"",MOD(D846,12)&lt;&gt;0,"",MOD(D846,12)=0,"Year End"&amp;" "&amp;D846/12)</f>
        <v/>
      </c>
      <c r="V846">
        <v>835</v>
      </c>
    </row>
    <row r="847" spans="4:22">
      <c r="D847" s="32" t="str">
        <f>IF(V847&lt;=calcs!$F$4,'Loan Calculator'!V847,"")</f>
        <v/>
      </c>
      <c r="E847" s="29" t="str" cm="1">
        <f t="array" ref="E847">_xlfn.IFS(F847="","",G846&lt;F846,G846*calcs!$H$3,$D$8&lt;=0,$M$3-F847,$D$8&gt;0,$M$3-F847+$D$8,G846&lt;F846,G847*calcs!$H$3)</f>
        <v/>
      </c>
      <c r="F847" s="29" t="str" cm="1">
        <f t="array" ref="F847">_xlfn.IFS(F846="","",G846=0,"",G846&lt;1,"",G846&lt;F846,G846,AND(G846&gt;0,$D$8&gt;0),$D$8+($M$3-(G846*calcs!$H$3)),G846&gt;0,$M$3-(G846*calcs!$H$3))</f>
        <v/>
      </c>
      <c r="G847" s="29" t="str" cm="1">
        <f t="array" ref="G847">_xlfn.IFS(F847="","",G846-F847&lt;1,0,ISBLANK(F847)=TRUE,"",G846-F847&gt;1,G846-F847)</f>
        <v/>
      </c>
      <c r="H847" s="33" t="str">
        <f t="shared" si="14"/>
        <v/>
      </c>
      <c r="I847" s="2" t="str" cm="1">
        <f t="array" ref="I847">_xlfn.IFS(OR(D847="",E847="",F847=""),"",MOD(D847,12)&lt;&gt;0,"",MOD(D847,12)=0,"Year End"&amp;" "&amp;D847/12)</f>
        <v/>
      </c>
      <c r="V847">
        <v>836</v>
      </c>
    </row>
    <row r="848" spans="4:22">
      <c r="D848" s="30" t="str">
        <f>IF(V848&lt;=calcs!$F$4,'Loan Calculator'!V848,"")</f>
        <v/>
      </c>
      <c r="E848" s="27" t="str" cm="1">
        <f t="array" ref="E848">_xlfn.IFS(F848="","",G847&lt;F847,G847*calcs!$H$3,$D$8&lt;=0,$M$3-F848,$D$8&gt;0,$M$3-F848+$D$8,G847&lt;F847,G848*calcs!$H$3)</f>
        <v/>
      </c>
      <c r="F848" s="27" t="str" cm="1">
        <f t="array" ref="F848">_xlfn.IFS(F847="","",G847=0,"",G847&lt;1,"",G847&lt;F847,G847,AND(G847&gt;0,$D$8&gt;0),$D$8+($M$3-(G847*calcs!$H$3)),G847&gt;0,$M$3-(G847*calcs!$H$3))</f>
        <v/>
      </c>
      <c r="G848" s="27" t="str" cm="1">
        <f t="array" ref="G848">_xlfn.IFS(F848="","",G847-F848&lt;1,0,ISBLANK(F848)=TRUE,"",G847-F848&gt;1,G847-F848)</f>
        <v/>
      </c>
      <c r="H848" s="31" t="str">
        <f t="shared" si="14"/>
        <v/>
      </c>
      <c r="I848" s="2" t="str" cm="1">
        <f t="array" ref="I848">_xlfn.IFS(OR(D848="",E848="",F848=""),"",MOD(D848,12)&lt;&gt;0,"",MOD(D848,12)=0,"Year End"&amp;" "&amp;D848/12)</f>
        <v/>
      </c>
      <c r="V848">
        <v>837</v>
      </c>
    </row>
    <row r="849" spans="4:22">
      <c r="D849" s="32" t="str">
        <f>IF(V849&lt;=calcs!$F$4,'Loan Calculator'!V849,"")</f>
        <v/>
      </c>
      <c r="E849" s="29" t="str" cm="1">
        <f t="array" ref="E849">_xlfn.IFS(F849="","",G848&lt;F848,G848*calcs!$H$3,$D$8&lt;=0,$M$3-F849,$D$8&gt;0,$M$3-F849+$D$8,G848&lt;F848,G849*calcs!$H$3)</f>
        <v/>
      </c>
      <c r="F849" s="29" t="str" cm="1">
        <f t="array" ref="F849">_xlfn.IFS(F848="","",G848=0,"",G848&lt;1,"",G848&lt;F848,G848,AND(G848&gt;0,$D$8&gt;0),$D$8+($M$3-(G848*calcs!$H$3)),G848&gt;0,$M$3-(G848*calcs!$H$3))</f>
        <v/>
      </c>
      <c r="G849" s="29" t="str" cm="1">
        <f t="array" ref="G849">_xlfn.IFS(F849="","",G848-F849&lt;1,0,ISBLANK(F849)=TRUE,"",G848-F849&gt;1,G848-F849)</f>
        <v/>
      </c>
      <c r="H849" s="33" t="str">
        <f t="shared" si="14"/>
        <v/>
      </c>
      <c r="I849" s="2" t="str" cm="1">
        <f t="array" ref="I849">_xlfn.IFS(OR(D849="",E849="",F849=""),"",MOD(D849,12)&lt;&gt;0,"",MOD(D849,12)=0,"Year End"&amp;" "&amp;D849/12)</f>
        <v/>
      </c>
      <c r="V849">
        <v>838</v>
      </c>
    </row>
    <row r="850" spans="4:22">
      <c r="D850" s="30" t="str">
        <f>IF(V850&lt;=calcs!$F$4,'Loan Calculator'!V850,"")</f>
        <v/>
      </c>
      <c r="E850" s="27" t="str" cm="1">
        <f t="array" ref="E850">_xlfn.IFS(F850="","",G849&lt;F849,G849*calcs!$H$3,$D$8&lt;=0,$M$3-F850,$D$8&gt;0,$M$3-F850+$D$8,G849&lt;F849,G850*calcs!$H$3)</f>
        <v/>
      </c>
      <c r="F850" s="27" t="str" cm="1">
        <f t="array" ref="F850">_xlfn.IFS(F849="","",G849=0,"",G849&lt;1,"",G849&lt;F849,G849,AND(G849&gt;0,$D$8&gt;0),$D$8+($M$3-(G849*calcs!$H$3)),G849&gt;0,$M$3-(G849*calcs!$H$3))</f>
        <v/>
      </c>
      <c r="G850" s="27" t="str" cm="1">
        <f t="array" ref="G850">_xlfn.IFS(F850="","",G849-F850&lt;1,0,ISBLANK(F850)=TRUE,"",G849-F850&gt;1,G849-F850)</f>
        <v/>
      </c>
      <c r="H850" s="31" t="str">
        <f t="shared" si="14"/>
        <v/>
      </c>
      <c r="I850" s="2" t="str" cm="1">
        <f t="array" ref="I850">_xlfn.IFS(OR(D850="",E850="",F850=""),"",MOD(D850,12)&lt;&gt;0,"",MOD(D850,12)=0,"Year End"&amp;" "&amp;D850/12)</f>
        <v/>
      </c>
      <c r="V850">
        <v>839</v>
      </c>
    </row>
    <row r="851" spans="4:22">
      <c r="D851" s="32" t="str">
        <f>IF(V851&lt;=calcs!$F$4,'Loan Calculator'!V851,"")</f>
        <v/>
      </c>
      <c r="E851" s="29" t="str" cm="1">
        <f t="array" ref="E851">_xlfn.IFS(F851="","",G850&lt;F850,G850*calcs!$H$3,$D$8&lt;=0,$M$3-F851,$D$8&gt;0,$M$3-F851+$D$8,G850&lt;F850,G851*calcs!$H$3)</f>
        <v/>
      </c>
      <c r="F851" s="29" t="str" cm="1">
        <f t="array" ref="F851">_xlfn.IFS(F850="","",G850=0,"",G850&lt;1,"",G850&lt;F850,G850,AND(G850&gt;0,$D$8&gt;0),$D$8+($M$3-(G850*calcs!$H$3)),G850&gt;0,$M$3-(G850*calcs!$H$3))</f>
        <v/>
      </c>
      <c r="G851" s="29" t="str" cm="1">
        <f t="array" ref="G851">_xlfn.IFS(F851="","",G850-F851&lt;1,0,ISBLANK(F851)=TRUE,"",G850-F851&gt;1,G850-F851)</f>
        <v/>
      </c>
      <c r="H851" s="33" t="str">
        <f t="shared" si="14"/>
        <v/>
      </c>
      <c r="I851" s="2" t="str" cm="1">
        <f t="array" ref="I851">_xlfn.IFS(OR(D851="",E851="",F851=""),"",MOD(D851,12)&lt;&gt;0,"",MOD(D851,12)=0,"Year End"&amp;" "&amp;D851/12)</f>
        <v/>
      </c>
      <c r="V851">
        <v>840</v>
      </c>
    </row>
    <row r="852" spans="4:22">
      <c r="D852" s="30" t="str">
        <f>IF(V852&lt;=calcs!$F$4,'Loan Calculator'!V852,"")</f>
        <v/>
      </c>
      <c r="E852" s="27" t="str" cm="1">
        <f t="array" ref="E852">_xlfn.IFS(F852="","",G851&lt;F851,G851*calcs!$H$3,$D$8&lt;=0,$M$3-F852,$D$8&gt;0,$M$3-F852+$D$8,G851&lt;F851,G852*calcs!$H$3)</f>
        <v/>
      </c>
      <c r="F852" s="27" t="str" cm="1">
        <f t="array" ref="F852">_xlfn.IFS(F851="","",G851=0,"",G851&lt;1,"",G851&lt;F851,G851,AND(G851&gt;0,$D$8&gt;0),$D$8+($M$3-(G851*calcs!$H$3)),G851&gt;0,$M$3-(G851*calcs!$H$3))</f>
        <v/>
      </c>
      <c r="G852" s="27" t="str" cm="1">
        <f t="array" ref="G852">_xlfn.IFS(F852="","",G851-F852&lt;1,0,ISBLANK(F852)=TRUE,"",G851-F852&gt;1,G851-F852)</f>
        <v/>
      </c>
      <c r="H852" s="31" t="str">
        <f t="shared" si="14"/>
        <v/>
      </c>
      <c r="I852" s="2" t="str" cm="1">
        <f t="array" ref="I852">_xlfn.IFS(OR(D852="",E852="",F852=""),"",MOD(D852,12)&lt;&gt;0,"",MOD(D852,12)=0,"Year End"&amp;" "&amp;D852/12)</f>
        <v/>
      </c>
      <c r="V852">
        <v>841</v>
      </c>
    </row>
    <row r="853" spans="4:22">
      <c r="D853" s="32" t="str">
        <f>IF(V853&lt;=calcs!$F$4,'Loan Calculator'!V853,"")</f>
        <v/>
      </c>
      <c r="E853" s="29" t="str" cm="1">
        <f t="array" ref="E853">_xlfn.IFS(F853="","",G852&lt;F852,G852*calcs!$H$3,$D$8&lt;=0,$M$3-F853,$D$8&gt;0,$M$3-F853+$D$8,G852&lt;F852,G853*calcs!$H$3)</f>
        <v/>
      </c>
      <c r="F853" s="29" t="str" cm="1">
        <f t="array" ref="F853">_xlfn.IFS(F852="","",G852=0,"",G852&lt;1,"",G852&lt;F852,G852,AND(G852&gt;0,$D$8&gt;0),$D$8+($M$3-(G852*calcs!$H$3)),G852&gt;0,$M$3-(G852*calcs!$H$3))</f>
        <v/>
      </c>
      <c r="G853" s="29" t="str" cm="1">
        <f t="array" ref="G853">_xlfn.IFS(F853="","",G852-F853&lt;1,0,ISBLANK(F853)=TRUE,"",G852-F853&gt;1,G852-F853)</f>
        <v/>
      </c>
      <c r="H853" s="33" t="str">
        <f t="shared" si="14"/>
        <v/>
      </c>
      <c r="I853" s="2" t="str" cm="1">
        <f t="array" ref="I853">_xlfn.IFS(OR(D853="",E853="",F853=""),"",MOD(D853,12)&lt;&gt;0,"",MOD(D853,12)=0,"Year End"&amp;" "&amp;D853/12)</f>
        <v/>
      </c>
      <c r="V853">
        <v>842</v>
      </c>
    </row>
    <row r="854" spans="4:22">
      <c r="D854" s="30" t="str">
        <f>IF(V854&lt;=calcs!$F$4,'Loan Calculator'!V854,"")</f>
        <v/>
      </c>
      <c r="E854" s="27" t="str" cm="1">
        <f t="array" ref="E854">_xlfn.IFS(F854="","",G853&lt;F853,G853*calcs!$H$3,$D$8&lt;=0,$M$3-F854,$D$8&gt;0,$M$3-F854+$D$8,G853&lt;F853,G854*calcs!$H$3)</f>
        <v/>
      </c>
      <c r="F854" s="27" t="str" cm="1">
        <f t="array" ref="F854">_xlfn.IFS(F853="","",G853=0,"",G853&lt;1,"",G853&lt;F853,G853,AND(G853&gt;0,$D$8&gt;0),$D$8+($M$3-(G853*calcs!$H$3)),G853&gt;0,$M$3-(G853*calcs!$H$3))</f>
        <v/>
      </c>
      <c r="G854" s="27" t="str" cm="1">
        <f t="array" ref="G854">_xlfn.IFS(F854="","",G853-F854&lt;1,0,ISBLANK(F854)=TRUE,"",G853-F854&gt;1,G853-F854)</f>
        <v/>
      </c>
      <c r="H854" s="31" t="str">
        <f t="shared" si="14"/>
        <v/>
      </c>
      <c r="I854" s="2" t="str" cm="1">
        <f t="array" ref="I854">_xlfn.IFS(OR(D854="",E854="",F854=""),"",MOD(D854,12)&lt;&gt;0,"",MOD(D854,12)=0,"Year End"&amp;" "&amp;D854/12)</f>
        <v/>
      </c>
      <c r="V854">
        <v>843</v>
      </c>
    </row>
    <row r="855" spans="4:22">
      <c r="D855" s="32" t="str">
        <f>IF(V855&lt;=calcs!$F$4,'Loan Calculator'!V855,"")</f>
        <v/>
      </c>
      <c r="E855" s="29" t="str" cm="1">
        <f t="array" ref="E855">_xlfn.IFS(F855="","",G854&lt;F854,G854*calcs!$H$3,$D$8&lt;=0,$M$3-F855,$D$8&gt;0,$M$3-F855+$D$8,G854&lt;F854,G855*calcs!$H$3)</f>
        <v/>
      </c>
      <c r="F855" s="29" t="str" cm="1">
        <f t="array" ref="F855">_xlfn.IFS(F854="","",G854=0,"",G854&lt;1,"",G854&lt;F854,G854,AND(G854&gt;0,$D$8&gt;0),$D$8+($M$3-(G854*calcs!$H$3)),G854&gt;0,$M$3-(G854*calcs!$H$3))</f>
        <v/>
      </c>
      <c r="G855" s="29" t="str" cm="1">
        <f t="array" ref="G855">_xlfn.IFS(F855="","",G854-F855&lt;1,0,ISBLANK(F855)=TRUE,"",G854-F855&gt;1,G854-F855)</f>
        <v/>
      </c>
      <c r="H855" s="33" t="str">
        <f t="shared" si="14"/>
        <v/>
      </c>
      <c r="I855" s="2" t="str" cm="1">
        <f t="array" ref="I855">_xlfn.IFS(OR(D855="",E855="",F855=""),"",MOD(D855,12)&lt;&gt;0,"",MOD(D855,12)=0,"Year End"&amp;" "&amp;D855/12)</f>
        <v/>
      </c>
      <c r="V855">
        <v>844</v>
      </c>
    </row>
    <row r="856" spans="4:22">
      <c r="D856" s="30" t="str">
        <f>IF(V856&lt;=calcs!$F$4,'Loan Calculator'!V856,"")</f>
        <v/>
      </c>
      <c r="E856" s="27" t="str" cm="1">
        <f t="array" ref="E856">_xlfn.IFS(F856="","",G855&lt;F855,G855*calcs!$H$3,$D$8&lt;=0,$M$3-F856,$D$8&gt;0,$M$3-F856+$D$8,G855&lt;F855,G856*calcs!$H$3)</f>
        <v/>
      </c>
      <c r="F856" s="27" t="str" cm="1">
        <f t="array" ref="F856">_xlfn.IFS(F855="","",G855=0,"",G855&lt;1,"",G855&lt;F855,G855,AND(G855&gt;0,$D$8&gt;0),$D$8+($M$3-(G855*calcs!$H$3)),G855&gt;0,$M$3-(G855*calcs!$H$3))</f>
        <v/>
      </c>
      <c r="G856" s="27" t="str" cm="1">
        <f t="array" ref="G856">_xlfn.IFS(F856="","",G855-F856&lt;1,0,ISBLANK(F856)=TRUE,"",G855-F856&gt;1,G855-F856)</f>
        <v/>
      </c>
      <c r="H856" s="31" t="str">
        <f t="shared" si="14"/>
        <v/>
      </c>
      <c r="I856" s="2" t="str" cm="1">
        <f t="array" ref="I856">_xlfn.IFS(OR(D856="",E856="",F856=""),"",MOD(D856,12)&lt;&gt;0,"",MOD(D856,12)=0,"Year End"&amp;" "&amp;D856/12)</f>
        <v/>
      </c>
      <c r="V856">
        <v>845</v>
      </c>
    </row>
    <row r="857" spans="4:22">
      <c r="D857" s="32" t="str">
        <f>IF(V857&lt;=calcs!$F$4,'Loan Calculator'!V857,"")</f>
        <v/>
      </c>
      <c r="E857" s="29" t="str" cm="1">
        <f t="array" ref="E857">_xlfn.IFS(F857="","",G856&lt;F856,G856*calcs!$H$3,$D$8&lt;=0,$M$3-F857,$D$8&gt;0,$M$3-F857+$D$8,G856&lt;F856,G857*calcs!$H$3)</f>
        <v/>
      </c>
      <c r="F857" s="29" t="str" cm="1">
        <f t="array" ref="F857">_xlfn.IFS(F856="","",G856=0,"",G856&lt;1,"",G856&lt;F856,G856,AND(G856&gt;0,$D$8&gt;0),$D$8+($M$3-(G856*calcs!$H$3)),G856&gt;0,$M$3-(G856*calcs!$H$3))</f>
        <v/>
      </c>
      <c r="G857" s="29" t="str" cm="1">
        <f t="array" ref="G857">_xlfn.IFS(F857="","",G856-F857&lt;1,0,ISBLANK(F857)=TRUE,"",G856-F857&gt;1,G856-F857)</f>
        <v/>
      </c>
      <c r="H857" s="33" t="str">
        <f t="shared" si="14"/>
        <v/>
      </c>
      <c r="I857" s="2" t="str" cm="1">
        <f t="array" ref="I857">_xlfn.IFS(OR(D857="",E857="",F857=""),"",MOD(D857,12)&lt;&gt;0,"",MOD(D857,12)=0,"Year End"&amp;" "&amp;D857/12)</f>
        <v/>
      </c>
      <c r="V857">
        <v>846</v>
      </c>
    </row>
    <row r="858" spans="4:22">
      <c r="D858" s="30" t="str">
        <f>IF(V858&lt;=calcs!$F$4,'Loan Calculator'!V858,"")</f>
        <v/>
      </c>
      <c r="E858" s="27" t="str" cm="1">
        <f t="array" ref="E858">_xlfn.IFS(F858="","",G857&lt;F857,G857*calcs!$H$3,$D$8&lt;=0,$M$3-F858,$D$8&gt;0,$M$3-F858+$D$8,G857&lt;F857,G858*calcs!$H$3)</f>
        <v/>
      </c>
      <c r="F858" s="27" t="str" cm="1">
        <f t="array" ref="F858">_xlfn.IFS(F857="","",G857=0,"",G857&lt;1,"",G857&lt;F857,G857,AND(G857&gt;0,$D$8&gt;0),$D$8+($M$3-(G857*calcs!$H$3)),G857&gt;0,$M$3-(G857*calcs!$H$3))</f>
        <v/>
      </c>
      <c r="G858" s="27" t="str" cm="1">
        <f t="array" ref="G858">_xlfn.IFS(F858="","",G857-F858&lt;1,0,ISBLANK(F858)=TRUE,"",G857-F858&gt;1,G857-F858)</f>
        <v/>
      </c>
      <c r="H858" s="31" t="str">
        <f t="shared" si="14"/>
        <v/>
      </c>
      <c r="I858" s="2" t="str" cm="1">
        <f t="array" ref="I858">_xlfn.IFS(OR(D858="",E858="",F858=""),"",MOD(D858,12)&lt;&gt;0,"",MOD(D858,12)=0,"Year End"&amp;" "&amp;D858/12)</f>
        <v/>
      </c>
      <c r="V858">
        <v>847</v>
      </c>
    </row>
    <row r="859" spans="4:22">
      <c r="D859" s="32" t="str">
        <f>IF(V859&lt;=calcs!$F$4,'Loan Calculator'!V859,"")</f>
        <v/>
      </c>
      <c r="E859" s="29" t="str" cm="1">
        <f t="array" ref="E859">_xlfn.IFS(F859="","",G858&lt;F858,G858*calcs!$H$3,$D$8&lt;=0,$M$3-F859,$D$8&gt;0,$M$3-F859+$D$8,G858&lt;F858,G859*calcs!$H$3)</f>
        <v/>
      </c>
      <c r="F859" s="29" t="str" cm="1">
        <f t="array" ref="F859">_xlfn.IFS(F858="","",G858=0,"",G858&lt;1,"",G858&lt;F858,G858,AND(G858&gt;0,$D$8&gt;0),$D$8+($M$3-(G858*calcs!$H$3)),G858&gt;0,$M$3-(G858*calcs!$H$3))</f>
        <v/>
      </c>
      <c r="G859" s="29" t="str" cm="1">
        <f t="array" ref="G859">_xlfn.IFS(F859="","",G858-F859&lt;1,0,ISBLANK(F859)=TRUE,"",G858-F859&gt;1,G858-F859)</f>
        <v/>
      </c>
      <c r="H859" s="33" t="str">
        <f t="shared" si="14"/>
        <v/>
      </c>
      <c r="I859" s="2" t="str" cm="1">
        <f t="array" ref="I859">_xlfn.IFS(OR(D859="",E859="",F859=""),"",MOD(D859,12)&lt;&gt;0,"",MOD(D859,12)=0,"Year End"&amp;" "&amp;D859/12)</f>
        <v/>
      </c>
      <c r="V859">
        <v>848</v>
      </c>
    </row>
    <row r="860" spans="4:22">
      <c r="D860" s="30" t="str">
        <f>IF(V860&lt;=calcs!$F$4,'Loan Calculator'!V860,"")</f>
        <v/>
      </c>
      <c r="E860" s="27" t="str" cm="1">
        <f t="array" ref="E860">_xlfn.IFS(F860="","",G859&lt;F859,G859*calcs!$H$3,$D$8&lt;=0,$M$3-F860,$D$8&gt;0,$M$3-F860+$D$8,G859&lt;F859,G860*calcs!$H$3)</f>
        <v/>
      </c>
      <c r="F860" s="27" t="str" cm="1">
        <f t="array" ref="F860">_xlfn.IFS(F859="","",G859=0,"",G859&lt;1,"",G859&lt;F859,G859,AND(G859&gt;0,$D$8&gt;0),$D$8+($M$3-(G859*calcs!$H$3)),G859&gt;0,$M$3-(G859*calcs!$H$3))</f>
        <v/>
      </c>
      <c r="G860" s="27" t="str" cm="1">
        <f t="array" ref="G860">_xlfn.IFS(F860="","",G859-F860&lt;1,0,ISBLANK(F860)=TRUE,"",G859-F860&gt;1,G859-F860)</f>
        <v/>
      </c>
      <c r="H860" s="31" t="str">
        <f t="shared" si="14"/>
        <v/>
      </c>
      <c r="I860" s="2" t="str" cm="1">
        <f t="array" ref="I860">_xlfn.IFS(OR(D860="",E860="",F860=""),"",MOD(D860,12)&lt;&gt;0,"",MOD(D860,12)=0,"Year End"&amp;" "&amp;D860/12)</f>
        <v/>
      </c>
      <c r="V860">
        <v>849</v>
      </c>
    </row>
    <row r="861" spans="4:22">
      <c r="D861" s="32" t="str">
        <f>IF(V861&lt;=calcs!$F$4,'Loan Calculator'!V861,"")</f>
        <v/>
      </c>
      <c r="E861" s="29" t="str" cm="1">
        <f t="array" ref="E861">_xlfn.IFS(F861="","",G860&lt;F860,G860*calcs!$H$3,$D$8&lt;=0,$M$3-F861,$D$8&gt;0,$M$3-F861+$D$8,G860&lt;F860,G861*calcs!$H$3)</f>
        <v/>
      </c>
      <c r="F861" s="29" t="str" cm="1">
        <f t="array" ref="F861">_xlfn.IFS(F860="","",G860=0,"",G860&lt;1,"",G860&lt;F860,G860,AND(G860&gt;0,$D$8&gt;0),$D$8+($M$3-(G860*calcs!$H$3)),G860&gt;0,$M$3-(G860*calcs!$H$3))</f>
        <v/>
      </c>
      <c r="G861" s="29" t="str" cm="1">
        <f t="array" ref="G861">_xlfn.IFS(F861="","",G860-F861&lt;1,0,ISBLANK(F861)=TRUE,"",G860-F861&gt;1,G860-F861)</f>
        <v/>
      </c>
      <c r="H861" s="33" t="str">
        <f t="shared" si="14"/>
        <v/>
      </c>
      <c r="I861" s="2" t="str" cm="1">
        <f t="array" ref="I861">_xlfn.IFS(OR(D861="",E861="",F861=""),"",MOD(D861,12)&lt;&gt;0,"",MOD(D861,12)=0,"Year End"&amp;" "&amp;D861/12)</f>
        <v/>
      </c>
      <c r="V861">
        <v>850</v>
      </c>
    </row>
    <row r="862" spans="4:22">
      <c r="D862" s="30" t="str">
        <f>IF(V862&lt;=calcs!$F$4,'Loan Calculator'!V862,"")</f>
        <v/>
      </c>
      <c r="E862" s="27" t="str" cm="1">
        <f t="array" ref="E862">_xlfn.IFS(F862="","",G861&lt;F861,G861*calcs!$H$3,$D$8&lt;=0,$M$3-F862,$D$8&gt;0,$M$3-F862+$D$8,G861&lt;F861,G862*calcs!$H$3)</f>
        <v/>
      </c>
      <c r="F862" s="27" t="str" cm="1">
        <f t="array" ref="F862">_xlfn.IFS(F861="","",G861=0,"",G861&lt;1,"",G861&lt;F861,G861,AND(G861&gt;0,$D$8&gt;0),$D$8+($M$3-(G861*calcs!$H$3)),G861&gt;0,$M$3-(G861*calcs!$H$3))</f>
        <v/>
      </c>
      <c r="G862" s="27" t="str" cm="1">
        <f t="array" ref="G862">_xlfn.IFS(F862="","",G861-F862&lt;1,0,ISBLANK(F862)=TRUE,"",G861-F862&gt;1,G861-F862)</f>
        <v/>
      </c>
      <c r="H862" s="31" t="str">
        <f t="shared" si="14"/>
        <v/>
      </c>
      <c r="I862" s="2" t="str" cm="1">
        <f t="array" ref="I862">_xlfn.IFS(OR(D862="",E862="",F862=""),"",MOD(D862,12)&lt;&gt;0,"",MOD(D862,12)=0,"Year End"&amp;" "&amp;D862/12)</f>
        <v/>
      </c>
      <c r="V862">
        <v>851</v>
      </c>
    </row>
    <row r="863" spans="4:22">
      <c r="D863" s="32" t="str">
        <f>IF(V863&lt;=calcs!$F$4,'Loan Calculator'!V863,"")</f>
        <v/>
      </c>
      <c r="E863" s="29" t="str" cm="1">
        <f t="array" ref="E863">_xlfn.IFS(F863="","",G862&lt;F862,G862*calcs!$H$3,$D$8&lt;=0,$M$3-F863,$D$8&gt;0,$M$3-F863+$D$8,G862&lt;F862,G863*calcs!$H$3)</f>
        <v/>
      </c>
      <c r="F863" s="29" t="str" cm="1">
        <f t="array" ref="F863">_xlfn.IFS(F862="","",G862=0,"",G862&lt;1,"",G862&lt;F862,G862,AND(G862&gt;0,$D$8&gt;0),$D$8+($M$3-(G862*calcs!$H$3)),G862&gt;0,$M$3-(G862*calcs!$H$3))</f>
        <v/>
      </c>
      <c r="G863" s="29" t="str" cm="1">
        <f t="array" ref="G863">_xlfn.IFS(F863="","",G862-F863&lt;1,0,ISBLANK(F863)=TRUE,"",G862-F863&gt;1,G862-F863)</f>
        <v/>
      </c>
      <c r="H863" s="33" t="str">
        <f t="shared" si="14"/>
        <v/>
      </c>
      <c r="I863" s="2" t="str" cm="1">
        <f t="array" ref="I863">_xlfn.IFS(OR(D863="",E863="",F863=""),"",MOD(D863,12)&lt;&gt;0,"",MOD(D863,12)=0,"Year End"&amp;" "&amp;D863/12)</f>
        <v/>
      </c>
      <c r="V863">
        <v>852</v>
      </c>
    </row>
    <row r="864" spans="4:22">
      <c r="D864" s="30" t="str">
        <f>IF(V864&lt;=calcs!$F$4,'Loan Calculator'!V864,"")</f>
        <v/>
      </c>
      <c r="E864" s="27" t="str" cm="1">
        <f t="array" ref="E864">_xlfn.IFS(F864="","",G863&lt;F863,G863*calcs!$H$3,$D$8&lt;=0,$M$3-F864,$D$8&gt;0,$M$3-F864+$D$8,G863&lt;F863,G864*calcs!$H$3)</f>
        <v/>
      </c>
      <c r="F864" s="27" t="str" cm="1">
        <f t="array" ref="F864">_xlfn.IFS(F863="","",G863=0,"",G863&lt;1,"",G863&lt;F863,G863,AND(G863&gt;0,$D$8&gt;0),$D$8+($M$3-(G863*calcs!$H$3)),G863&gt;0,$M$3-(G863*calcs!$H$3))</f>
        <v/>
      </c>
      <c r="G864" s="27" t="str" cm="1">
        <f t="array" ref="G864">_xlfn.IFS(F864="","",G863-F864&lt;1,0,ISBLANK(F864)=TRUE,"",G863-F864&gt;1,G863-F864)</f>
        <v/>
      </c>
      <c r="H864" s="31" t="str">
        <f t="shared" si="14"/>
        <v/>
      </c>
      <c r="I864" s="2" t="str" cm="1">
        <f t="array" ref="I864">_xlfn.IFS(OR(D864="",E864="",F864=""),"",MOD(D864,12)&lt;&gt;0,"",MOD(D864,12)=0,"Year End"&amp;" "&amp;D864/12)</f>
        <v/>
      </c>
      <c r="V864">
        <v>853</v>
      </c>
    </row>
    <row r="865" spans="4:22">
      <c r="D865" s="32" t="str">
        <f>IF(V865&lt;=calcs!$F$4,'Loan Calculator'!V865,"")</f>
        <v/>
      </c>
      <c r="E865" s="29" t="str" cm="1">
        <f t="array" ref="E865">_xlfn.IFS(F865="","",G864&lt;F864,G864*calcs!$H$3,$D$8&lt;=0,$M$3-F865,$D$8&gt;0,$M$3-F865+$D$8,G864&lt;F864,G865*calcs!$H$3)</f>
        <v/>
      </c>
      <c r="F865" s="29" t="str" cm="1">
        <f t="array" ref="F865">_xlfn.IFS(F864="","",G864=0,"",G864&lt;1,"",G864&lt;F864,G864,AND(G864&gt;0,$D$8&gt;0),$D$8+($M$3-(G864*calcs!$H$3)),G864&gt;0,$M$3-(G864*calcs!$H$3))</f>
        <v/>
      </c>
      <c r="G865" s="29" t="str" cm="1">
        <f t="array" ref="G865">_xlfn.IFS(F865="","",G864-F865&lt;1,0,ISBLANK(F865)=TRUE,"",G864-F865&gt;1,G864-F865)</f>
        <v/>
      </c>
      <c r="H865" s="33" t="str">
        <f t="shared" si="14"/>
        <v/>
      </c>
      <c r="I865" s="2" t="str" cm="1">
        <f t="array" ref="I865">_xlfn.IFS(OR(D865="",E865="",F865=""),"",MOD(D865,12)&lt;&gt;0,"",MOD(D865,12)=0,"Year End"&amp;" "&amp;D865/12)</f>
        <v/>
      </c>
      <c r="V865">
        <v>854</v>
      </c>
    </row>
    <row r="866" spans="4:22">
      <c r="D866" s="30" t="str">
        <f>IF(V866&lt;=calcs!$F$4,'Loan Calculator'!V866,"")</f>
        <v/>
      </c>
      <c r="E866" s="27" t="str" cm="1">
        <f t="array" ref="E866">_xlfn.IFS(F866="","",G865&lt;F865,G865*calcs!$H$3,$D$8&lt;=0,$M$3-F866,$D$8&gt;0,$M$3-F866+$D$8,G865&lt;F865,G866*calcs!$H$3)</f>
        <v/>
      </c>
      <c r="F866" s="27" t="str" cm="1">
        <f t="array" ref="F866">_xlfn.IFS(F865="","",G865=0,"",G865&lt;1,"",G865&lt;F865,G865,AND(G865&gt;0,$D$8&gt;0),$D$8+($M$3-(G865*calcs!$H$3)),G865&gt;0,$M$3-(G865*calcs!$H$3))</f>
        <v/>
      </c>
      <c r="G866" s="27" t="str" cm="1">
        <f t="array" ref="G866">_xlfn.IFS(F866="","",G865-F866&lt;1,0,ISBLANK(F866)=TRUE,"",G865-F866&gt;1,G865-F866)</f>
        <v/>
      </c>
      <c r="H866" s="31" t="str">
        <f t="shared" si="14"/>
        <v/>
      </c>
      <c r="I866" s="2" t="str" cm="1">
        <f t="array" ref="I866">_xlfn.IFS(OR(D866="",E866="",F866=""),"",MOD(D866,12)&lt;&gt;0,"",MOD(D866,12)=0,"Year End"&amp;" "&amp;D866/12)</f>
        <v/>
      </c>
      <c r="V866">
        <v>855</v>
      </c>
    </row>
    <row r="867" spans="4:22">
      <c r="D867" s="32" t="str">
        <f>IF(V867&lt;=calcs!$F$4,'Loan Calculator'!V867,"")</f>
        <v/>
      </c>
      <c r="E867" s="29" t="str" cm="1">
        <f t="array" ref="E867">_xlfn.IFS(F867="","",G866&lt;F866,G866*calcs!$H$3,$D$8&lt;=0,$M$3-F867,$D$8&gt;0,$M$3-F867+$D$8,G866&lt;F866,G867*calcs!$H$3)</f>
        <v/>
      </c>
      <c r="F867" s="29" t="str" cm="1">
        <f t="array" ref="F867">_xlfn.IFS(F866="","",G866=0,"",G866&lt;1,"",G866&lt;F866,G866,AND(G866&gt;0,$D$8&gt;0),$D$8+($M$3-(G866*calcs!$H$3)),G866&gt;0,$M$3-(G866*calcs!$H$3))</f>
        <v/>
      </c>
      <c r="G867" s="29" t="str" cm="1">
        <f t="array" ref="G867">_xlfn.IFS(F867="","",G866-F867&lt;1,0,ISBLANK(F867)=TRUE,"",G866-F867&gt;1,G866-F867)</f>
        <v/>
      </c>
      <c r="H867" s="33" t="str">
        <f t="shared" si="14"/>
        <v/>
      </c>
      <c r="I867" s="2" t="str" cm="1">
        <f t="array" ref="I867">_xlfn.IFS(OR(D867="",E867="",F867=""),"",MOD(D867,12)&lt;&gt;0,"",MOD(D867,12)=0,"Year End"&amp;" "&amp;D867/12)</f>
        <v/>
      </c>
      <c r="V867">
        <v>856</v>
      </c>
    </row>
    <row r="868" spans="4:22">
      <c r="D868" s="30" t="str">
        <f>IF(V868&lt;=calcs!$F$4,'Loan Calculator'!V868,"")</f>
        <v/>
      </c>
      <c r="E868" s="27" t="str" cm="1">
        <f t="array" ref="E868">_xlfn.IFS(F868="","",G867&lt;F867,G867*calcs!$H$3,$D$8&lt;=0,$M$3-F868,$D$8&gt;0,$M$3-F868+$D$8,G867&lt;F867,G868*calcs!$H$3)</f>
        <v/>
      </c>
      <c r="F868" s="27" t="str" cm="1">
        <f t="array" ref="F868">_xlfn.IFS(F867="","",G867=0,"",G867&lt;1,"",G867&lt;F867,G867,AND(G867&gt;0,$D$8&gt;0),$D$8+($M$3-(G867*calcs!$H$3)),G867&gt;0,$M$3-(G867*calcs!$H$3))</f>
        <v/>
      </c>
      <c r="G868" s="27" t="str" cm="1">
        <f t="array" ref="G868">_xlfn.IFS(F868="","",G867-F868&lt;1,0,ISBLANK(F868)=TRUE,"",G867-F868&gt;1,G867-F868)</f>
        <v/>
      </c>
      <c r="H868" s="31" t="str">
        <f t="shared" si="14"/>
        <v/>
      </c>
      <c r="I868" s="2" t="str" cm="1">
        <f t="array" ref="I868">_xlfn.IFS(OR(D868="",E868="",F868=""),"",MOD(D868,12)&lt;&gt;0,"",MOD(D868,12)=0,"Year End"&amp;" "&amp;D868/12)</f>
        <v/>
      </c>
      <c r="V868">
        <v>857</v>
      </c>
    </row>
    <row r="869" spans="4:22">
      <c r="D869" s="32" t="str">
        <f>IF(V869&lt;=calcs!$F$4,'Loan Calculator'!V869,"")</f>
        <v/>
      </c>
      <c r="E869" s="29" t="str" cm="1">
        <f t="array" ref="E869">_xlfn.IFS(F869="","",G868&lt;F868,G868*calcs!$H$3,$D$8&lt;=0,$M$3-F869,$D$8&gt;0,$M$3-F869+$D$8,G868&lt;F868,G869*calcs!$H$3)</f>
        <v/>
      </c>
      <c r="F869" s="29" t="str" cm="1">
        <f t="array" ref="F869">_xlfn.IFS(F868="","",G868=0,"",G868&lt;1,"",G868&lt;F868,G868,AND(G868&gt;0,$D$8&gt;0),$D$8+($M$3-(G868*calcs!$H$3)),G868&gt;0,$M$3-(G868*calcs!$H$3))</f>
        <v/>
      </c>
      <c r="G869" s="29" t="str" cm="1">
        <f t="array" ref="G869">_xlfn.IFS(F869="","",G868-F869&lt;1,0,ISBLANK(F869)=TRUE,"",G868-F869&gt;1,G868-F869)</f>
        <v/>
      </c>
      <c r="H869" s="33" t="str">
        <f t="shared" si="14"/>
        <v/>
      </c>
      <c r="I869" s="2" t="str" cm="1">
        <f t="array" ref="I869">_xlfn.IFS(OR(D869="",E869="",F869=""),"",MOD(D869,12)&lt;&gt;0,"",MOD(D869,12)=0,"Year End"&amp;" "&amp;D869/12)</f>
        <v/>
      </c>
      <c r="V869">
        <v>858</v>
      </c>
    </row>
    <row r="870" spans="4:22">
      <c r="D870" s="30" t="str">
        <f>IF(V870&lt;=calcs!$F$4,'Loan Calculator'!V870,"")</f>
        <v/>
      </c>
      <c r="E870" s="27" t="str" cm="1">
        <f t="array" ref="E870">_xlfn.IFS(F870="","",G869&lt;F869,G869*calcs!$H$3,$D$8&lt;=0,$M$3-F870,$D$8&gt;0,$M$3-F870+$D$8,G869&lt;F869,G870*calcs!$H$3)</f>
        <v/>
      </c>
      <c r="F870" s="27" t="str" cm="1">
        <f t="array" ref="F870">_xlfn.IFS(F869="","",G869=0,"",G869&lt;1,"",G869&lt;F869,G869,AND(G869&gt;0,$D$8&gt;0),$D$8+($M$3-(G869*calcs!$H$3)),G869&gt;0,$M$3-(G869*calcs!$H$3))</f>
        <v/>
      </c>
      <c r="G870" s="27" t="str" cm="1">
        <f t="array" ref="G870">_xlfn.IFS(F870="","",G869-F870&lt;1,0,ISBLANK(F870)=TRUE,"",G869-F870&gt;1,G869-F870)</f>
        <v/>
      </c>
      <c r="H870" s="31" t="str">
        <f t="shared" si="14"/>
        <v/>
      </c>
      <c r="I870" s="2" t="str" cm="1">
        <f t="array" ref="I870">_xlfn.IFS(OR(D870="",E870="",F870=""),"",MOD(D870,12)&lt;&gt;0,"",MOD(D870,12)=0,"Year End"&amp;" "&amp;D870/12)</f>
        <v/>
      </c>
      <c r="V870">
        <v>859</v>
      </c>
    </row>
    <row r="871" spans="4:22">
      <c r="D871" s="32" t="str">
        <f>IF(V871&lt;=calcs!$F$4,'Loan Calculator'!V871,"")</f>
        <v/>
      </c>
      <c r="E871" s="29" t="str" cm="1">
        <f t="array" ref="E871">_xlfn.IFS(F871="","",G870&lt;F870,G870*calcs!$H$3,$D$8&lt;=0,$M$3-F871,$D$8&gt;0,$M$3-F871+$D$8,G870&lt;F870,G871*calcs!$H$3)</f>
        <v/>
      </c>
      <c r="F871" s="29" t="str" cm="1">
        <f t="array" ref="F871">_xlfn.IFS(F870="","",G870=0,"",G870&lt;1,"",G870&lt;F870,G870,AND(G870&gt;0,$D$8&gt;0),$D$8+($M$3-(G870*calcs!$H$3)),G870&gt;0,$M$3-(G870*calcs!$H$3))</f>
        <v/>
      </c>
      <c r="G871" s="29" t="str" cm="1">
        <f t="array" ref="G871">_xlfn.IFS(F871="","",G870-F871&lt;1,0,ISBLANK(F871)=TRUE,"",G870-F871&gt;1,G870-F871)</f>
        <v/>
      </c>
      <c r="H871" s="33" t="str">
        <f t="shared" si="14"/>
        <v/>
      </c>
      <c r="I871" s="2" t="str" cm="1">
        <f t="array" ref="I871">_xlfn.IFS(OR(D871="",E871="",F871=""),"",MOD(D871,12)&lt;&gt;0,"",MOD(D871,12)=0,"Year End"&amp;" "&amp;D871/12)</f>
        <v/>
      </c>
      <c r="V871">
        <v>860</v>
      </c>
    </row>
    <row r="872" spans="4:22">
      <c r="D872" s="30" t="str">
        <f>IF(V872&lt;=calcs!$F$4,'Loan Calculator'!V872,"")</f>
        <v/>
      </c>
      <c r="E872" s="27" t="str" cm="1">
        <f t="array" ref="E872">_xlfn.IFS(F872="","",G871&lt;F871,G871*calcs!$H$3,$D$8&lt;=0,$M$3-F872,$D$8&gt;0,$M$3-F872+$D$8,G871&lt;F871,G872*calcs!$H$3)</f>
        <v/>
      </c>
      <c r="F872" s="27" t="str" cm="1">
        <f t="array" ref="F872">_xlfn.IFS(F871="","",G871=0,"",G871&lt;1,"",G871&lt;F871,G871,AND(G871&gt;0,$D$8&gt;0),$D$8+($M$3-(G871*calcs!$H$3)),G871&gt;0,$M$3-(G871*calcs!$H$3))</f>
        <v/>
      </c>
      <c r="G872" s="27" t="str" cm="1">
        <f t="array" ref="G872">_xlfn.IFS(F872="","",G871-F872&lt;1,0,ISBLANK(F872)=TRUE,"",G871-F872&gt;1,G871-F872)</f>
        <v/>
      </c>
      <c r="H872" s="31" t="str">
        <f t="shared" si="14"/>
        <v/>
      </c>
      <c r="I872" s="2" t="str" cm="1">
        <f t="array" ref="I872">_xlfn.IFS(OR(D872="",E872="",F872=""),"",MOD(D872,12)&lt;&gt;0,"",MOD(D872,12)=0,"Year End"&amp;" "&amp;D872/12)</f>
        <v/>
      </c>
      <c r="V872">
        <v>861</v>
      </c>
    </row>
    <row r="873" spans="4:22">
      <c r="D873" s="32" t="str">
        <f>IF(V873&lt;=calcs!$F$4,'Loan Calculator'!V873,"")</f>
        <v/>
      </c>
      <c r="E873" s="29" t="str" cm="1">
        <f t="array" ref="E873">_xlfn.IFS(F873="","",G872&lt;F872,G872*calcs!$H$3,$D$8&lt;=0,$M$3-F873,$D$8&gt;0,$M$3-F873+$D$8,G872&lt;F872,G873*calcs!$H$3)</f>
        <v/>
      </c>
      <c r="F873" s="29" t="str" cm="1">
        <f t="array" ref="F873">_xlfn.IFS(F872="","",G872=0,"",G872&lt;1,"",G872&lt;F872,G872,AND(G872&gt;0,$D$8&gt;0),$D$8+($M$3-(G872*calcs!$H$3)),G872&gt;0,$M$3-(G872*calcs!$H$3))</f>
        <v/>
      </c>
      <c r="G873" s="29" t="str" cm="1">
        <f t="array" ref="G873">_xlfn.IFS(F873="","",G872-F873&lt;1,0,ISBLANK(F873)=TRUE,"",G872-F873&gt;1,G872-F873)</f>
        <v/>
      </c>
      <c r="H873" s="33" t="str">
        <f t="shared" si="14"/>
        <v/>
      </c>
      <c r="I873" s="2" t="str" cm="1">
        <f t="array" ref="I873">_xlfn.IFS(OR(D873="",E873="",F873=""),"",MOD(D873,12)&lt;&gt;0,"",MOD(D873,12)=0,"Year End"&amp;" "&amp;D873/12)</f>
        <v/>
      </c>
      <c r="V873">
        <v>862</v>
      </c>
    </row>
    <row r="874" spans="4:22">
      <c r="D874" s="30" t="str">
        <f>IF(V874&lt;=calcs!$F$4,'Loan Calculator'!V874,"")</f>
        <v/>
      </c>
      <c r="E874" s="27" t="str" cm="1">
        <f t="array" ref="E874">_xlfn.IFS(F874="","",G873&lt;F873,G873*calcs!$H$3,$D$8&lt;=0,$M$3-F874,$D$8&gt;0,$M$3-F874+$D$8,G873&lt;F873,G874*calcs!$H$3)</f>
        <v/>
      </c>
      <c r="F874" s="27" t="str" cm="1">
        <f t="array" ref="F874">_xlfn.IFS(F873="","",G873=0,"",G873&lt;1,"",G873&lt;F873,G873,AND(G873&gt;0,$D$8&gt;0),$D$8+($M$3-(G873*calcs!$H$3)),G873&gt;0,$M$3-(G873*calcs!$H$3))</f>
        <v/>
      </c>
      <c r="G874" s="27" t="str" cm="1">
        <f t="array" ref="G874">_xlfn.IFS(F874="","",G873-F874&lt;1,0,ISBLANK(F874)=TRUE,"",G873-F874&gt;1,G873-F874)</f>
        <v/>
      </c>
      <c r="H874" s="31" t="str">
        <f t="shared" si="14"/>
        <v/>
      </c>
      <c r="I874" s="2" t="str" cm="1">
        <f t="array" ref="I874">_xlfn.IFS(OR(D874="",E874="",F874=""),"",MOD(D874,12)&lt;&gt;0,"",MOD(D874,12)=0,"Year End"&amp;" "&amp;D874/12)</f>
        <v/>
      </c>
      <c r="V874">
        <v>863</v>
      </c>
    </row>
    <row r="875" spans="4:22">
      <c r="D875" s="32" t="str">
        <f>IF(V875&lt;=calcs!$F$4,'Loan Calculator'!V875,"")</f>
        <v/>
      </c>
      <c r="E875" s="29" t="str" cm="1">
        <f t="array" ref="E875">_xlfn.IFS(F875="","",G874&lt;F874,G874*calcs!$H$3,$D$8&lt;=0,$M$3-F875,$D$8&gt;0,$M$3-F875+$D$8,G874&lt;F874,G875*calcs!$H$3)</f>
        <v/>
      </c>
      <c r="F875" s="29" t="str" cm="1">
        <f t="array" ref="F875">_xlfn.IFS(F874="","",G874=0,"",G874&lt;1,"",G874&lt;F874,G874,AND(G874&gt;0,$D$8&gt;0),$D$8+($M$3-(G874*calcs!$H$3)),G874&gt;0,$M$3-(G874*calcs!$H$3))</f>
        <v/>
      </c>
      <c r="G875" s="29" t="str" cm="1">
        <f t="array" ref="G875">_xlfn.IFS(F875="","",G874-F875&lt;1,0,ISBLANK(F875)=TRUE,"",G874-F875&gt;1,G874-F875)</f>
        <v/>
      </c>
      <c r="H875" s="33" t="str">
        <f t="shared" si="14"/>
        <v/>
      </c>
      <c r="I875" s="2" t="str" cm="1">
        <f t="array" ref="I875">_xlfn.IFS(OR(D875="",E875="",F875=""),"",MOD(D875,12)&lt;&gt;0,"",MOD(D875,12)=0,"Year End"&amp;" "&amp;D875/12)</f>
        <v/>
      </c>
      <c r="V875">
        <v>864</v>
      </c>
    </row>
    <row r="876" spans="4:22">
      <c r="D876" s="30" t="str">
        <f>IF(V876&lt;=calcs!$F$4,'Loan Calculator'!V876,"")</f>
        <v/>
      </c>
      <c r="E876" s="27" t="str" cm="1">
        <f t="array" ref="E876">_xlfn.IFS(F876="","",G875&lt;F875,G875*calcs!$H$3,$D$8&lt;=0,$M$3-F876,$D$8&gt;0,$M$3-F876+$D$8,G875&lt;F875,G876*calcs!$H$3)</f>
        <v/>
      </c>
      <c r="F876" s="27" t="str" cm="1">
        <f t="array" ref="F876">_xlfn.IFS(F875="","",G875=0,"",G875&lt;1,"",G875&lt;F875,G875,AND(G875&gt;0,$D$8&gt;0),$D$8+($M$3-(G875*calcs!$H$3)),G875&gt;0,$M$3-(G875*calcs!$H$3))</f>
        <v/>
      </c>
      <c r="G876" s="27" t="str" cm="1">
        <f t="array" ref="G876">_xlfn.IFS(F876="","",G875-F876&lt;1,0,ISBLANK(F876)=TRUE,"",G875-F876&gt;1,G875-F876)</f>
        <v/>
      </c>
      <c r="H876" s="31" t="str">
        <f t="shared" si="14"/>
        <v/>
      </c>
      <c r="I876" s="2" t="str" cm="1">
        <f t="array" ref="I876">_xlfn.IFS(OR(D876="",E876="",F876=""),"",MOD(D876,12)&lt;&gt;0,"",MOD(D876,12)=0,"Year End"&amp;" "&amp;D876/12)</f>
        <v/>
      </c>
      <c r="V876">
        <v>865</v>
      </c>
    </row>
    <row r="877" spans="4:22">
      <c r="D877" s="32" t="str">
        <f>IF(V877&lt;=calcs!$F$4,'Loan Calculator'!V877,"")</f>
        <v/>
      </c>
      <c r="E877" s="29" t="str" cm="1">
        <f t="array" ref="E877">_xlfn.IFS(F877="","",G876&lt;F876,G876*calcs!$H$3,$D$8&lt;=0,$M$3-F877,$D$8&gt;0,$M$3-F877+$D$8,G876&lt;F876,G877*calcs!$H$3)</f>
        <v/>
      </c>
      <c r="F877" s="29" t="str" cm="1">
        <f t="array" ref="F877">_xlfn.IFS(F876="","",G876=0,"",G876&lt;1,"",G876&lt;F876,G876,AND(G876&gt;0,$D$8&gt;0),$D$8+($M$3-(G876*calcs!$H$3)),G876&gt;0,$M$3-(G876*calcs!$H$3))</f>
        <v/>
      </c>
      <c r="G877" s="29" t="str" cm="1">
        <f t="array" ref="G877">_xlfn.IFS(F877="","",G876-F877&lt;1,0,ISBLANK(F877)=TRUE,"",G876-F877&gt;1,G876-F877)</f>
        <v/>
      </c>
      <c r="H877" s="33" t="str">
        <f t="shared" si="14"/>
        <v/>
      </c>
      <c r="I877" s="2" t="str" cm="1">
        <f t="array" ref="I877">_xlfn.IFS(OR(D877="",E877="",F877=""),"",MOD(D877,12)&lt;&gt;0,"",MOD(D877,12)=0,"Year End"&amp;" "&amp;D877/12)</f>
        <v/>
      </c>
      <c r="V877">
        <v>866</v>
      </c>
    </row>
    <row r="878" spans="4:22">
      <c r="D878" s="30" t="str">
        <f>IF(V878&lt;=calcs!$F$4,'Loan Calculator'!V878,"")</f>
        <v/>
      </c>
      <c r="E878" s="27" t="str" cm="1">
        <f t="array" ref="E878">_xlfn.IFS(F878="","",G877&lt;F877,G877*calcs!$H$3,$D$8&lt;=0,$M$3-F878,$D$8&gt;0,$M$3-F878+$D$8,G877&lt;F877,G878*calcs!$H$3)</f>
        <v/>
      </c>
      <c r="F878" s="27" t="str" cm="1">
        <f t="array" ref="F878">_xlfn.IFS(F877="","",G877=0,"",G877&lt;1,"",G877&lt;F877,G877,AND(G877&gt;0,$D$8&gt;0),$D$8+($M$3-(G877*calcs!$H$3)),G877&gt;0,$M$3-(G877*calcs!$H$3))</f>
        <v/>
      </c>
      <c r="G878" s="27" t="str" cm="1">
        <f t="array" ref="G878">_xlfn.IFS(F878="","",G877-F878&lt;1,0,ISBLANK(F878)=TRUE,"",G877-F878&gt;1,G877-F878)</f>
        <v/>
      </c>
      <c r="H878" s="31" t="str">
        <f t="shared" si="14"/>
        <v/>
      </c>
      <c r="I878" s="2" t="str" cm="1">
        <f t="array" ref="I878">_xlfn.IFS(OR(D878="",E878="",F878=""),"",MOD(D878,12)&lt;&gt;0,"",MOD(D878,12)=0,"Year End"&amp;" "&amp;D878/12)</f>
        <v/>
      </c>
      <c r="V878">
        <v>867</v>
      </c>
    </row>
    <row r="879" spans="4:22">
      <c r="D879" s="32" t="str">
        <f>IF(V879&lt;=calcs!$F$4,'Loan Calculator'!V879,"")</f>
        <v/>
      </c>
      <c r="E879" s="29" t="str" cm="1">
        <f t="array" ref="E879">_xlfn.IFS(F879="","",G878&lt;F878,G878*calcs!$H$3,$D$8&lt;=0,$M$3-F879,$D$8&gt;0,$M$3-F879+$D$8,G878&lt;F878,G879*calcs!$H$3)</f>
        <v/>
      </c>
      <c r="F879" s="29" t="str" cm="1">
        <f t="array" ref="F879">_xlfn.IFS(F878="","",G878=0,"",G878&lt;1,"",G878&lt;F878,G878,AND(G878&gt;0,$D$8&gt;0),$D$8+($M$3-(G878*calcs!$H$3)),G878&gt;0,$M$3-(G878*calcs!$H$3))</f>
        <v/>
      </c>
      <c r="G879" s="29" t="str" cm="1">
        <f t="array" ref="G879">_xlfn.IFS(F879="","",G878-F879&lt;1,0,ISBLANK(F879)=TRUE,"",G878-F879&gt;1,G878-F879)</f>
        <v/>
      </c>
      <c r="H879" s="33" t="str">
        <f t="shared" si="14"/>
        <v/>
      </c>
      <c r="I879" s="2" t="str" cm="1">
        <f t="array" ref="I879">_xlfn.IFS(OR(D879="",E879="",F879=""),"",MOD(D879,12)&lt;&gt;0,"",MOD(D879,12)=0,"Year End"&amp;" "&amp;D879/12)</f>
        <v/>
      </c>
      <c r="V879">
        <v>868</v>
      </c>
    </row>
    <row r="880" spans="4:22">
      <c r="D880" s="30" t="str">
        <f>IF(V880&lt;=calcs!$F$4,'Loan Calculator'!V880,"")</f>
        <v/>
      </c>
      <c r="E880" s="27" t="str" cm="1">
        <f t="array" ref="E880">_xlfn.IFS(F880="","",G879&lt;F879,G879*calcs!$H$3,$D$8&lt;=0,$M$3-F880,$D$8&gt;0,$M$3-F880+$D$8,G879&lt;F879,G880*calcs!$H$3)</f>
        <v/>
      </c>
      <c r="F880" s="27" t="str" cm="1">
        <f t="array" ref="F880">_xlfn.IFS(F879="","",G879=0,"",G879&lt;1,"",G879&lt;F879,G879,AND(G879&gt;0,$D$8&gt;0),$D$8+($M$3-(G879*calcs!$H$3)),G879&gt;0,$M$3-(G879*calcs!$H$3))</f>
        <v/>
      </c>
      <c r="G880" s="27" t="str" cm="1">
        <f t="array" ref="G880">_xlfn.IFS(F880="","",G879-F880&lt;1,0,ISBLANK(F880)=TRUE,"",G879-F880&gt;1,G879-F880)</f>
        <v/>
      </c>
      <c r="H880" s="31" t="str">
        <f t="shared" si="14"/>
        <v/>
      </c>
      <c r="I880" s="2" t="str" cm="1">
        <f t="array" ref="I880">_xlfn.IFS(OR(D880="",E880="",F880=""),"",MOD(D880,12)&lt;&gt;0,"",MOD(D880,12)=0,"Year End"&amp;" "&amp;D880/12)</f>
        <v/>
      </c>
      <c r="V880">
        <v>869</v>
      </c>
    </row>
    <row r="881" spans="4:22">
      <c r="D881" s="32" t="str">
        <f>IF(V881&lt;=calcs!$F$4,'Loan Calculator'!V881,"")</f>
        <v/>
      </c>
      <c r="E881" s="29" t="str" cm="1">
        <f t="array" ref="E881">_xlfn.IFS(F881="","",G880&lt;F880,G880*calcs!$H$3,$D$8&lt;=0,$M$3-F881,$D$8&gt;0,$M$3-F881+$D$8,G880&lt;F880,G881*calcs!$H$3)</f>
        <v/>
      </c>
      <c r="F881" s="29" t="str" cm="1">
        <f t="array" ref="F881">_xlfn.IFS(F880="","",G880=0,"",G880&lt;1,"",G880&lt;F880,G880,AND(G880&gt;0,$D$8&gt;0),$D$8+($M$3-(G880*calcs!$H$3)),G880&gt;0,$M$3-(G880*calcs!$H$3))</f>
        <v/>
      </c>
      <c r="G881" s="29" t="str" cm="1">
        <f t="array" ref="G881">_xlfn.IFS(F881="","",G880-F881&lt;1,0,ISBLANK(F881)=TRUE,"",G880-F881&gt;1,G880-F881)</f>
        <v/>
      </c>
      <c r="H881" s="33" t="str">
        <f t="shared" si="14"/>
        <v/>
      </c>
      <c r="I881" s="2" t="str" cm="1">
        <f t="array" ref="I881">_xlfn.IFS(OR(D881="",E881="",F881=""),"",MOD(D881,12)&lt;&gt;0,"",MOD(D881,12)=0,"Year End"&amp;" "&amp;D881/12)</f>
        <v/>
      </c>
      <c r="V881">
        <v>870</v>
      </c>
    </row>
    <row r="882" spans="4:22">
      <c r="D882" s="30" t="str">
        <f>IF(V882&lt;=calcs!$F$4,'Loan Calculator'!V882,"")</f>
        <v/>
      </c>
      <c r="E882" s="27" t="str" cm="1">
        <f t="array" ref="E882">_xlfn.IFS(F882="","",G881&lt;F881,G881*calcs!$H$3,$D$8&lt;=0,$M$3-F882,$D$8&gt;0,$M$3-F882+$D$8,G881&lt;F881,G882*calcs!$H$3)</f>
        <v/>
      </c>
      <c r="F882" s="27" t="str" cm="1">
        <f t="array" ref="F882">_xlfn.IFS(F881="","",G881=0,"",G881&lt;1,"",G881&lt;F881,G881,AND(G881&gt;0,$D$8&gt;0),$D$8+($M$3-(G881*calcs!$H$3)),G881&gt;0,$M$3-(G881*calcs!$H$3))</f>
        <v/>
      </c>
      <c r="G882" s="27" t="str" cm="1">
        <f t="array" ref="G882">_xlfn.IFS(F882="","",G881-F882&lt;1,0,ISBLANK(F882)=TRUE,"",G881-F882&gt;1,G881-F882)</f>
        <v/>
      </c>
      <c r="H882" s="31" t="str">
        <f t="shared" si="14"/>
        <v/>
      </c>
      <c r="I882" s="2" t="str" cm="1">
        <f t="array" ref="I882">_xlfn.IFS(OR(D882="",E882="",F882=""),"",MOD(D882,12)&lt;&gt;0,"",MOD(D882,12)=0,"Year End"&amp;" "&amp;D882/12)</f>
        <v/>
      </c>
      <c r="V882">
        <v>871</v>
      </c>
    </row>
    <row r="883" spans="4:22">
      <c r="D883" s="32" t="str">
        <f>IF(V883&lt;=calcs!$F$4,'Loan Calculator'!V883,"")</f>
        <v/>
      </c>
      <c r="E883" s="29" t="str" cm="1">
        <f t="array" ref="E883">_xlfn.IFS(F883="","",G882&lt;F882,G882*calcs!$H$3,$D$8&lt;=0,$M$3-F883,$D$8&gt;0,$M$3-F883+$D$8,G882&lt;F882,G883*calcs!$H$3)</f>
        <v/>
      </c>
      <c r="F883" s="29" t="str" cm="1">
        <f t="array" ref="F883">_xlfn.IFS(F882="","",G882=0,"",G882&lt;1,"",G882&lt;F882,G882,AND(G882&gt;0,$D$8&gt;0),$D$8+($M$3-(G882*calcs!$H$3)),G882&gt;0,$M$3-(G882*calcs!$H$3))</f>
        <v/>
      </c>
      <c r="G883" s="29" t="str" cm="1">
        <f t="array" ref="G883">_xlfn.IFS(F883="","",G882-F883&lt;1,0,ISBLANK(F883)=TRUE,"",G882-F883&gt;1,G882-F883)</f>
        <v/>
      </c>
      <c r="H883" s="33" t="str">
        <f t="shared" si="14"/>
        <v/>
      </c>
      <c r="I883" s="2" t="str" cm="1">
        <f t="array" ref="I883">_xlfn.IFS(OR(D883="",E883="",F883=""),"",MOD(D883,12)&lt;&gt;0,"",MOD(D883,12)=0,"Year End"&amp;" "&amp;D883/12)</f>
        <v/>
      </c>
      <c r="V883">
        <v>872</v>
      </c>
    </row>
    <row r="884" spans="4:22">
      <c r="D884" s="30" t="str">
        <f>IF(V884&lt;=calcs!$F$4,'Loan Calculator'!V884,"")</f>
        <v/>
      </c>
      <c r="E884" s="27" t="str" cm="1">
        <f t="array" ref="E884">_xlfn.IFS(F884="","",G883&lt;F883,G883*calcs!$H$3,$D$8&lt;=0,$M$3-F884,$D$8&gt;0,$M$3-F884+$D$8,G883&lt;F883,G884*calcs!$H$3)</f>
        <v/>
      </c>
      <c r="F884" s="27" t="str" cm="1">
        <f t="array" ref="F884">_xlfn.IFS(F883="","",G883=0,"",G883&lt;1,"",G883&lt;F883,G883,AND(G883&gt;0,$D$8&gt;0),$D$8+($M$3-(G883*calcs!$H$3)),G883&gt;0,$M$3-(G883*calcs!$H$3))</f>
        <v/>
      </c>
      <c r="G884" s="27" t="str" cm="1">
        <f t="array" ref="G884">_xlfn.IFS(F884="","",G883-F884&lt;1,0,ISBLANK(F884)=TRUE,"",G883-F884&gt;1,G883-F884)</f>
        <v/>
      </c>
      <c r="H884" s="31" t="str">
        <f t="shared" si="14"/>
        <v/>
      </c>
      <c r="I884" s="2" t="str" cm="1">
        <f t="array" ref="I884">_xlfn.IFS(OR(D884="",E884="",F884=""),"",MOD(D884,12)&lt;&gt;0,"",MOD(D884,12)=0,"Year End"&amp;" "&amp;D884/12)</f>
        <v/>
      </c>
      <c r="V884">
        <v>873</v>
      </c>
    </row>
    <row r="885" spans="4:22">
      <c r="D885" s="32" t="str">
        <f>IF(V885&lt;=calcs!$F$4,'Loan Calculator'!V885,"")</f>
        <v/>
      </c>
      <c r="E885" s="29" t="str" cm="1">
        <f t="array" ref="E885">_xlfn.IFS(F885="","",G884&lt;F884,G884*calcs!$H$3,$D$8&lt;=0,$M$3-F885,$D$8&gt;0,$M$3-F885+$D$8,G884&lt;F884,G885*calcs!$H$3)</f>
        <v/>
      </c>
      <c r="F885" s="29" t="str" cm="1">
        <f t="array" ref="F885">_xlfn.IFS(F884="","",G884=0,"",G884&lt;1,"",G884&lt;F884,G884,AND(G884&gt;0,$D$8&gt;0),$D$8+($M$3-(G884*calcs!$H$3)),G884&gt;0,$M$3-(G884*calcs!$H$3))</f>
        <v/>
      </c>
      <c r="G885" s="29" t="str" cm="1">
        <f t="array" ref="G885">_xlfn.IFS(F885="","",G884-F885&lt;1,0,ISBLANK(F885)=TRUE,"",G884-F885&gt;1,G884-F885)</f>
        <v/>
      </c>
      <c r="H885" s="33" t="str">
        <f t="shared" si="14"/>
        <v/>
      </c>
      <c r="I885" s="2" t="str" cm="1">
        <f t="array" ref="I885">_xlfn.IFS(OR(D885="",E885="",F885=""),"",MOD(D885,12)&lt;&gt;0,"",MOD(D885,12)=0,"Year End"&amp;" "&amp;D885/12)</f>
        <v/>
      </c>
      <c r="V885">
        <v>874</v>
      </c>
    </row>
    <row r="886" spans="4:22">
      <c r="D886" s="30" t="str">
        <f>IF(V886&lt;=calcs!$F$4,'Loan Calculator'!V886,"")</f>
        <v/>
      </c>
      <c r="E886" s="27" t="str" cm="1">
        <f t="array" ref="E886">_xlfn.IFS(F886="","",G885&lt;F885,G885*calcs!$H$3,$D$8&lt;=0,$M$3-F886,$D$8&gt;0,$M$3-F886+$D$8,G885&lt;F885,G886*calcs!$H$3)</f>
        <v/>
      </c>
      <c r="F886" s="27" t="str" cm="1">
        <f t="array" ref="F886">_xlfn.IFS(F885="","",G885=0,"",G885&lt;1,"",G885&lt;F885,G885,AND(G885&gt;0,$D$8&gt;0),$D$8+($M$3-(G885*calcs!$H$3)),G885&gt;0,$M$3-(G885*calcs!$H$3))</f>
        <v/>
      </c>
      <c r="G886" s="27" t="str" cm="1">
        <f t="array" ref="G886">_xlfn.IFS(F886="","",G885-F886&lt;1,0,ISBLANK(F886)=TRUE,"",G885-F886&gt;1,G885-F886)</f>
        <v/>
      </c>
      <c r="H886" s="31" t="str">
        <f t="shared" si="14"/>
        <v/>
      </c>
      <c r="I886" s="2" t="str" cm="1">
        <f t="array" ref="I886">_xlfn.IFS(OR(D886="",E886="",F886=""),"",MOD(D886,12)&lt;&gt;0,"",MOD(D886,12)=0,"Year End"&amp;" "&amp;D886/12)</f>
        <v/>
      </c>
      <c r="V886">
        <v>875</v>
      </c>
    </row>
    <row r="887" spans="4:22">
      <c r="D887" s="32" t="str">
        <f>IF(V887&lt;=calcs!$F$4,'Loan Calculator'!V887,"")</f>
        <v/>
      </c>
      <c r="E887" s="29" t="str" cm="1">
        <f t="array" ref="E887">_xlfn.IFS(F887="","",G886&lt;F886,G886*calcs!$H$3,$D$8&lt;=0,$M$3-F887,$D$8&gt;0,$M$3-F887+$D$8,G886&lt;F886,G887*calcs!$H$3)</f>
        <v/>
      </c>
      <c r="F887" s="29" t="str" cm="1">
        <f t="array" ref="F887">_xlfn.IFS(F886="","",G886=0,"",G886&lt;1,"",G886&lt;F886,G886,AND(G886&gt;0,$D$8&gt;0),$D$8+($M$3-(G886*calcs!$H$3)),G886&gt;0,$M$3-(G886*calcs!$H$3))</f>
        <v/>
      </c>
      <c r="G887" s="29" t="str" cm="1">
        <f t="array" ref="G887">_xlfn.IFS(F887="","",G886-F887&lt;1,0,ISBLANK(F887)=TRUE,"",G886-F887&gt;1,G886-F887)</f>
        <v/>
      </c>
      <c r="H887" s="33" t="str">
        <f t="shared" si="14"/>
        <v/>
      </c>
      <c r="I887" s="2" t="str" cm="1">
        <f t="array" ref="I887">_xlfn.IFS(OR(D887="",E887="",F887=""),"",MOD(D887,12)&lt;&gt;0,"",MOD(D887,12)=0,"Year End"&amp;" "&amp;D887/12)</f>
        <v/>
      </c>
      <c r="V887">
        <v>876</v>
      </c>
    </row>
    <row r="888" spans="4:22">
      <c r="D888" s="30" t="str">
        <f>IF(V888&lt;=calcs!$F$4,'Loan Calculator'!V888,"")</f>
        <v/>
      </c>
      <c r="E888" s="27" t="str" cm="1">
        <f t="array" ref="E888">_xlfn.IFS(F888="","",G887&lt;F887,G887*calcs!$H$3,$D$8&lt;=0,$M$3-F888,$D$8&gt;0,$M$3-F888+$D$8,G887&lt;F887,G888*calcs!$H$3)</f>
        <v/>
      </c>
      <c r="F888" s="27" t="str" cm="1">
        <f t="array" ref="F888">_xlfn.IFS(F887="","",G887=0,"",G887&lt;1,"",G887&lt;F887,G887,AND(G887&gt;0,$D$8&gt;0),$D$8+($M$3-(G887*calcs!$H$3)),G887&gt;0,$M$3-(G887*calcs!$H$3))</f>
        <v/>
      </c>
      <c r="G888" s="27" t="str" cm="1">
        <f t="array" ref="G888">_xlfn.IFS(F888="","",G887-F888&lt;1,0,ISBLANK(F888)=TRUE,"",G887-F888&gt;1,G887-F888)</f>
        <v/>
      </c>
      <c r="H888" s="31" t="str">
        <f t="shared" si="14"/>
        <v/>
      </c>
      <c r="I888" s="2" t="str" cm="1">
        <f t="array" ref="I888">_xlfn.IFS(OR(D888="",E888="",F888=""),"",MOD(D888,12)&lt;&gt;0,"",MOD(D888,12)=0,"Year End"&amp;" "&amp;D888/12)</f>
        <v/>
      </c>
      <c r="V888">
        <v>877</v>
      </c>
    </row>
    <row r="889" spans="4:22">
      <c r="D889" s="32" t="str">
        <f>IF(V889&lt;=calcs!$F$4,'Loan Calculator'!V889,"")</f>
        <v/>
      </c>
      <c r="E889" s="29" t="str" cm="1">
        <f t="array" ref="E889">_xlfn.IFS(F889="","",G888&lt;F888,G888*calcs!$H$3,$D$8&lt;=0,$M$3-F889,$D$8&gt;0,$M$3-F889+$D$8,G888&lt;F888,G889*calcs!$H$3)</f>
        <v/>
      </c>
      <c r="F889" s="29" t="str" cm="1">
        <f t="array" ref="F889">_xlfn.IFS(F888="","",G888=0,"",G888&lt;1,"",G888&lt;F888,G888,AND(G888&gt;0,$D$8&gt;0),$D$8+($M$3-(G888*calcs!$H$3)),G888&gt;0,$M$3-(G888*calcs!$H$3))</f>
        <v/>
      </c>
      <c r="G889" s="29" t="str" cm="1">
        <f t="array" ref="G889">_xlfn.IFS(F889="","",G888-F889&lt;1,0,ISBLANK(F889)=TRUE,"",G888-F889&gt;1,G888-F889)</f>
        <v/>
      </c>
      <c r="H889" s="33" t="str">
        <f t="shared" si="14"/>
        <v/>
      </c>
      <c r="I889" s="2" t="str" cm="1">
        <f t="array" ref="I889">_xlfn.IFS(OR(D889="",E889="",F889=""),"",MOD(D889,12)&lt;&gt;0,"",MOD(D889,12)=0,"Year End"&amp;" "&amp;D889/12)</f>
        <v/>
      </c>
      <c r="V889">
        <v>878</v>
      </c>
    </row>
    <row r="890" spans="4:22">
      <c r="D890" s="30" t="str">
        <f>IF(V890&lt;=calcs!$F$4,'Loan Calculator'!V890,"")</f>
        <v/>
      </c>
      <c r="E890" s="27" t="str" cm="1">
        <f t="array" ref="E890">_xlfn.IFS(F890="","",G889&lt;F889,G889*calcs!$H$3,$D$8&lt;=0,$M$3-F890,$D$8&gt;0,$M$3-F890+$D$8,G889&lt;F889,G890*calcs!$H$3)</f>
        <v/>
      </c>
      <c r="F890" s="27" t="str" cm="1">
        <f t="array" ref="F890">_xlfn.IFS(F889="","",G889=0,"",G889&lt;1,"",G889&lt;F889,G889,AND(G889&gt;0,$D$8&gt;0),$D$8+($M$3-(G889*calcs!$H$3)),G889&gt;0,$M$3-(G889*calcs!$H$3))</f>
        <v/>
      </c>
      <c r="G890" s="27" t="str" cm="1">
        <f t="array" ref="G890">_xlfn.IFS(F890="","",G889-F890&lt;1,0,ISBLANK(F890)=TRUE,"",G889-F890&gt;1,G889-F890)</f>
        <v/>
      </c>
      <c r="H890" s="31" t="str">
        <f t="shared" si="14"/>
        <v/>
      </c>
      <c r="I890" s="2" t="str" cm="1">
        <f t="array" ref="I890">_xlfn.IFS(OR(D890="",E890="",F890=""),"",MOD(D890,12)&lt;&gt;0,"",MOD(D890,12)=0,"Year End"&amp;" "&amp;D890/12)</f>
        <v/>
      </c>
      <c r="V890">
        <v>879</v>
      </c>
    </row>
    <row r="891" spans="4:22">
      <c r="D891" s="32" t="str">
        <f>IF(V891&lt;=calcs!$F$4,'Loan Calculator'!V891,"")</f>
        <v/>
      </c>
      <c r="E891" s="29" t="str" cm="1">
        <f t="array" ref="E891">_xlfn.IFS(F891="","",G890&lt;F890,G890*calcs!$H$3,$D$8&lt;=0,$M$3-F891,$D$8&gt;0,$M$3-F891+$D$8,G890&lt;F890,G891*calcs!$H$3)</f>
        <v/>
      </c>
      <c r="F891" s="29" t="str" cm="1">
        <f t="array" ref="F891">_xlfn.IFS(F890="","",G890=0,"",G890&lt;1,"",G890&lt;F890,G890,AND(G890&gt;0,$D$8&gt;0),$D$8+($M$3-(G890*calcs!$H$3)),G890&gt;0,$M$3-(G890*calcs!$H$3))</f>
        <v/>
      </c>
      <c r="G891" s="29" t="str" cm="1">
        <f t="array" ref="G891">_xlfn.IFS(F891="","",G890-F891&lt;1,0,ISBLANK(F891)=TRUE,"",G890-F891&gt;1,G890-F891)</f>
        <v/>
      </c>
      <c r="H891" s="33" t="str">
        <f t="shared" si="14"/>
        <v/>
      </c>
      <c r="I891" s="2" t="str" cm="1">
        <f t="array" ref="I891">_xlfn.IFS(OR(D891="",E891="",F891=""),"",MOD(D891,12)&lt;&gt;0,"",MOD(D891,12)=0,"Year End"&amp;" "&amp;D891/12)</f>
        <v/>
      </c>
      <c r="V891">
        <v>880</v>
      </c>
    </row>
    <row r="892" spans="4:22">
      <c r="D892" s="30" t="str">
        <f>IF(V892&lt;=calcs!$F$4,'Loan Calculator'!V892,"")</f>
        <v/>
      </c>
      <c r="E892" s="27" t="str" cm="1">
        <f t="array" ref="E892">_xlfn.IFS(F892="","",G891&lt;F891,G891*calcs!$H$3,$D$8&lt;=0,$M$3-F892,$D$8&gt;0,$M$3-F892+$D$8,G891&lt;F891,G892*calcs!$H$3)</f>
        <v/>
      </c>
      <c r="F892" s="27" t="str" cm="1">
        <f t="array" ref="F892">_xlfn.IFS(F891="","",G891=0,"",G891&lt;1,"",G891&lt;F891,G891,AND(G891&gt;0,$D$8&gt;0),$D$8+($M$3-(G891*calcs!$H$3)),G891&gt;0,$M$3-(G891*calcs!$H$3))</f>
        <v/>
      </c>
      <c r="G892" s="27" t="str" cm="1">
        <f t="array" ref="G892">_xlfn.IFS(F892="","",G891-F892&lt;1,0,ISBLANK(F892)=TRUE,"",G891-F892&gt;1,G891-F892)</f>
        <v/>
      </c>
      <c r="H892" s="31" t="str">
        <f t="shared" si="14"/>
        <v/>
      </c>
      <c r="I892" s="2" t="str" cm="1">
        <f t="array" ref="I892">_xlfn.IFS(OR(D892="",E892="",F892=""),"",MOD(D892,12)&lt;&gt;0,"",MOD(D892,12)=0,"Year End"&amp;" "&amp;D892/12)</f>
        <v/>
      </c>
      <c r="V892">
        <v>881</v>
      </c>
    </row>
    <row r="893" spans="4:22">
      <c r="D893" s="32" t="str">
        <f>IF(V893&lt;=calcs!$F$4,'Loan Calculator'!V893,"")</f>
        <v/>
      </c>
      <c r="E893" s="29" t="str" cm="1">
        <f t="array" ref="E893">_xlfn.IFS(F893="","",G892&lt;F892,G892*calcs!$H$3,$D$8&lt;=0,$M$3-F893,$D$8&gt;0,$M$3-F893+$D$8,G892&lt;F892,G893*calcs!$H$3)</f>
        <v/>
      </c>
      <c r="F893" s="29" t="str" cm="1">
        <f t="array" ref="F893">_xlfn.IFS(F892="","",G892=0,"",G892&lt;1,"",G892&lt;F892,G892,AND(G892&gt;0,$D$8&gt;0),$D$8+($M$3-(G892*calcs!$H$3)),G892&gt;0,$M$3-(G892*calcs!$H$3))</f>
        <v/>
      </c>
      <c r="G893" s="29" t="str" cm="1">
        <f t="array" ref="G893">_xlfn.IFS(F893="","",G892-F893&lt;1,0,ISBLANK(F893)=TRUE,"",G892-F893&gt;1,G892-F893)</f>
        <v/>
      </c>
      <c r="H893" s="33" t="str">
        <f t="shared" si="14"/>
        <v/>
      </c>
      <c r="I893" s="2" t="str" cm="1">
        <f t="array" ref="I893">_xlfn.IFS(OR(D893="",E893="",F893=""),"",MOD(D893,12)&lt;&gt;0,"",MOD(D893,12)=0,"Year End"&amp;" "&amp;D893/12)</f>
        <v/>
      </c>
      <c r="V893">
        <v>882</v>
      </c>
    </row>
    <row r="894" spans="4:22">
      <c r="D894" s="30" t="str">
        <f>IF(V894&lt;=calcs!$F$4,'Loan Calculator'!V894,"")</f>
        <v/>
      </c>
      <c r="E894" s="27" t="str" cm="1">
        <f t="array" ref="E894">_xlfn.IFS(F894="","",G893&lt;F893,G893*calcs!$H$3,$D$8&lt;=0,$M$3-F894,$D$8&gt;0,$M$3-F894+$D$8,G893&lt;F893,G894*calcs!$H$3)</f>
        <v/>
      </c>
      <c r="F894" s="27" t="str" cm="1">
        <f t="array" ref="F894">_xlfn.IFS(F893="","",G893=0,"",G893&lt;1,"",G893&lt;F893,G893,AND(G893&gt;0,$D$8&gt;0),$D$8+($M$3-(G893*calcs!$H$3)),G893&gt;0,$M$3-(G893*calcs!$H$3))</f>
        <v/>
      </c>
      <c r="G894" s="27" t="str" cm="1">
        <f t="array" ref="G894">_xlfn.IFS(F894="","",G893-F894&lt;1,0,ISBLANK(F894)=TRUE,"",G893-F894&gt;1,G893-F894)</f>
        <v/>
      </c>
      <c r="H894" s="31" t="str">
        <f t="shared" si="14"/>
        <v/>
      </c>
      <c r="I894" s="2" t="str" cm="1">
        <f t="array" ref="I894">_xlfn.IFS(OR(D894="",E894="",F894=""),"",MOD(D894,12)&lt;&gt;0,"",MOD(D894,12)=0,"Year End"&amp;" "&amp;D894/12)</f>
        <v/>
      </c>
      <c r="V894">
        <v>883</v>
      </c>
    </row>
    <row r="895" spans="4:22">
      <c r="D895" s="32" t="str">
        <f>IF(V895&lt;=calcs!$F$4,'Loan Calculator'!V895,"")</f>
        <v/>
      </c>
      <c r="E895" s="29" t="str" cm="1">
        <f t="array" ref="E895">_xlfn.IFS(F895="","",G894&lt;F894,G894*calcs!$H$3,$D$8&lt;=0,$M$3-F895,$D$8&gt;0,$M$3-F895+$D$8,G894&lt;F894,G895*calcs!$H$3)</f>
        <v/>
      </c>
      <c r="F895" s="29" t="str" cm="1">
        <f t="array" ref="F895">_xlfn.IFS(F894="","",G894=0,"",G894&lt;1,"",G894&lt;F894,G894,AND(G894&gt;0,$D$8&gt;0),$D$8+($M$3-(G894*calcs!$H$3)),G894&gt;0,$M$3-(G894*calcs!$H$3))</f>
        <v/>
      </c>
      <c r="G895" s="29" t="str" cm="1">
        <f t="array" ref="G895">_xlfn.IFS(F895="","",G894-F895&lt;1,0,ISBLANK(F895)=TRUE,"",G894-F895&gt;1,G894-F895)</f>
        <v/>
      </c>
      <c r="H895" s="33" t="str">
        <f t="shared" si="14"/>
        <v/>
      </c>
      <c r="I895" s="2" t="str" cm="1">
        <f t="array" ref="I895">_xlfn.IFS(OR(D895="",E895="",F895=""),"",MOD(D895,12)&lt;&gt;0,"",MOD(D895,12)=0,"Year End"&amp;" "&amp;D895/12)</f>
        <v/>
      </c>
      <c r="V895">
        <v>884</v>
      </c>
    </row>
    <row r="896" spans="4:22">
      <c r="D896" s="30" t="str">
        <f>IF(V896&lt;=calcs!$F$4,'Loan Calculator'!V896,"")</f>
        <v/>
      </c>
      <c r="E896" s="27" t="str" cm="1">
        <f t="array" ref="E896">_xlfn.IFS(F896="","",G895&lt;F895,G895*calcs!$H$3,$D$8&lt;=0,$M$3-F896,$D$8&gt;0,$M$3-F896+$D$8,G895&lt;F895,G896*calcs!$H$3)</f>
        <v/>
      </c>
      <c r="F896" s="27" t="str" cm="1">
        <f t="array" ref="F896">_xlfn.IFS(F895="","",G895=0,"",G895&lt;1,"",G895&lt;F895,G895,AND(G895&gt;0,$D$8&gt;0),$D$8+($M$3-(G895*calcs!$H$3)),G895&gt;0,$M$3-(G895*calcs!$H$3))</f>
        <v/>
      </c>
      <c r="G896" s="27" t="str" cm="1">
        <f t="array" ref="G896">_xlfn.IFS(F896="","",G895-F896&lt;1,0,ISBLANK(F896)=TRUE,"",G895-F896&gt;1,G895-F896)</f>
        <v/>
      </c>
      <c r="H896" s="31" t="str">
        <f t="shared" si="14"/>
        <v/>
      </c>
      <c r="I896" s="2" t="str" cm="1">
        <f t="array" ref="I896">_xlfn.IFS(OR(D896="",E896="",F896=""),"",MOD(D896,12)&lt;&gt;0,"",MOD(D896,12)=0,"Year End"&amp;" "&amp;D896/12)</f>
        <v/>
      </c>
      <c r="V896">
        <v>885</v>
      </c>
    </row>
    <row r="897" spans="4:22">
      <c r="D897" s="32" t="str">
        <f>IF(V897&lt;=calcs!$F$4,'Loan Calculator'!V897,"")</f>
        <v/>
      </c>
      <c r="E897" s="29" t="str" cm="1">
        <f t="array" ref="E897">_xlfn.IFS(F897="","",G896&lt;F896,G896*calcs!$H$3,$D$8&lt;=0,$M$3-F897,$D$8&gt;0,$M$3-F897+$D$8,G896&lt;F896,G897*calcs!$H$3)</f>
        <v/>
      </c>
      <c r="F897" s="29" t="str" cm="1">
        <f t="array" ref="F897">_xlfn.IFS(F896="","",G896=0,"",G896&lt;1,"",G896&lt;F896,G896,AND(G896&gt;0,$D$8&gt;0),$D$8+($M$3-(G896*calcs!$H$3)),G896&gt;0,$M$3-(G896*calcs!$H$3))</f>
        <v/>
      </c>
      <c r="G897" s="29" t="str" cm="1">
        <f t="array" ref="G897">_xlfn.IFS(F897="","",G896-F897&lt;1,0,ISBLANK(F897)=TRUE,"",G896-F897&gt;1,G896-F897)</f>
        <v/>
      </c>
      <c r="H897" s="33" t="str">
        <f t="shared" si="14"/>
        <v/>
      </c>
      <c r="I897" s="2" t="str" cm="1">
        <f t="array" ref="I897">_xlfn.IFS(OR(D897="",E897="",F897=""),"",MOD(D897,12)&lt;&gt;0,"",MOD(D897,12)=0,"Year End"&amp;" "&amp;D897/12)</f>
        <v/>
      </c>
      <c r="V897">
        <v>886</v>
      </c>
    </row>
    <row r="898" spans="4:22">
      <c r="D898" s="30" t="str">
        <f>IF(V898&lt;=calcs!$F$4,'Loan Calculator'!V898,"")</f>
        <v/>
      </c>
      <c r="E898" s="27" t="str" cm="1">
        <f t="array" ref="E898">_xlfn.IFS(F898="","",G897&lt;F897,G897*calcs!$H$3,$D$8&lt;=0,$M$3-F898,$D$8&gt;0,$M$3-F898+$D$8,G897&lt;F897,G898*calcs!$H$3)</f>
        <v/>
      </c>
      <c r="F898" s="27" t="str" cm="1">
        <f t="array" ref="F898">_xlfn.IFS(F897="","",G897=0,"",G897&lt;1,"",G897&lt;F897,G897,AND(G897&gt;0,$D$8&gt;0),$D$8+($M$3-(G897*calcs!$H$3)),G897&gt;0,$M$3-(G897*calcs!$H$3))</f>
        <v/>
      </c>
      <c r="G898" s="27" t="str" cm="1">
        <f t="array" ref="G898">_xlfn.IFS(F898="","",G897-F898&lt;1,0,ISBLANK(F898)=TRUE,"",G897-F898&gt;1,G897-F898)</f>
        <v/>
      </c>
      <c r="H898" s="31" t="str">
        <f t="shared" si="14"/>
        <v/>
      </c>
      <c r="I898" s="2" t="str" cm="1">
        <f t="array" ref="I898">_xlfn.IFS(OR(D898="",E898="",F898=""),"",MOD(D898,12)&lt;&gt;0,"",MOD(D898,12)=0,"Year End"&amp;" "&amp;D898/12)</f>
        <v/>
      </c>
      <c r="V898">
        <v>887</v>
      </c>
    </row>
    <row r="899" spans="4:22">
      <c r="D899" s="32" t="str">
        <f>IF(V899&lt;=calcs!$F$4,'Loan Calculator'!V899,"")</f>
        <v/>
      </c>
      <c r="E899" s="29" t="str" cm="1">
        <f t="array" ref="E899">_xlfn.IFS(F899="","",G898&lt;F898,G898*calcs!$H$3,$D$8&lt;=0,$M$3-F899,$D$8&gt;0,$M$3-F899+$D$8,G898&lt;F898,G899*calcs!$H$3)</f>
        <v/>
      </c>
      <c r="F899" s="29" t="str" cm="1">
        <f t="array" ref="F899">_xlfn.IFS(F898="","",G898=0,"",G898&lt;1,"",G898&lt;F898,G898,AND(G898&gt;0,$D$8&gt;0),$D$8+($M$3-(G898*calcs!$H$3)),G898&gt;0,$M$3-(G898*calcs!$H$3))</f>
        <v/>
      </c>
      <c r="G899" s="29" t="str" cm="1">
        <f t="array" ref="G899">_xlfn.IFS(F899="","",G898-F899&lt;1,0,ISBLANK(F899)=TRUE,"",G898-F899&gt;1,G898-F899)</f>
        <v/>
      </c>
      <c r="H899" s="33" t="str">
        <f t="shared" si="14"/>
        <v/>
      </c>
      <c r="I899" s="2" t="str" cm="1">
        <f t="array" ref="I899">_xlfn.IFS(OR(D899="",E899="",F899=""),"",MOD(D899,12)&lt;&gt;0,"",MOD(D899,12)=0,"Year End"&amp;" "&amp;D899/12)</f>
        <v/>
      </c>
      <c r="V899">
        <v>888</v>
      </c>
    </row>
    <row r="900" spans="4:22">
      <c r="D900" s="30" t="str">
        <f>IF(V900&lt;=calcs!$F$4,'Loan Calculator'!V900,"")</f>
        <v/>
      </c>
      <c r="E900" s="27" t="str" cm="1">
        <f t="array" ref="E900">_xlfn.IFS(F900="","",G899&lt;F899,G899*calcs!$H$3,$D$8&lt;=0,$M$3-F900,$D$8&gt;0,$M$3-F900+$D$8,G899&lt;F899,G900*calcs!$H$3)</f>
        <v/>
      </c>
      <c r="F900" s="27" t="str" cm="1">
        <f t="array" ref="F900">_xlfn.IFS(F899="","",G899=0,"",G899&lt;1,"",G899&lt;F899,G899,AND(G899&gt;0,$D$8&gt;0),$D$8+($M$3-(G899*calcs!$H$3)),G899&gt;0,$M$3-(G899*calcs!$H$3))</f>
        <v/>
      </c>
      <c r="G900" s="27" t="str" cm="1">
        <f t="array" ref="G900">_xlfn.IFS(F900="","",G899-F900&lt;1,0,ISBLANK(F900)=TRUE,"",G899-F900&gt;1,G899-F900)</f>
        <v/>
      </c>
      <c r="H900" s="31" t="str">
        <f t="shared" si="14"/>
        <v/>
      </c>
      <c r="I900" s="2" t="str" cm="1">
        <f t="array" ref="I900">_xlfn.IFS(OR(D900="",E900="",F900=""),"",MOD(D900,12)&lt;&gt;0,"",MOD(D900,12)=0,"Year End"&amp;" "&amp;D900/12)</f>
        <v/>
      </c>
      <c r="V900">
        <v>889</v>
      </c>
    </row>
    <row r="901" spans="4:22">
      <c r="D901" s="32" t="str">
        <f>IF(V901&lt;=calcs!$F$4,'Loan Calculator'!V901,"")</f>
        <v/>
      </c>
      <c r="E901" s="29" t="str" cm="1">
        <f t="array" ref="E901">_xlfn.IFS(F901="","",G900&lt;F900,G900*calcs!$H$3,$D$8&lt;=0,$M$3-F901,$D$8&gt;0,$M$3-F901+$D$8,G900&lt;F900,G901*calcs!$H$3)</f>
        <v/>
      </c>
      <c r="F901" s="29" t="str" cm="1">
        <f t="array" ref="F901">_xlfn.IFS(F900="","",G900=0,"",G900&lt;1,"",G900&lt;F900,G900,AND(G900&gt;0,$D$8&gt;0),$D$8+($M$3-(G900*calcs!$H$3)),G900&gt;0,$M$3-(G900*calcs!$H$3))</f>
        <v/>
      </c>
      <c r="G901" s="29" t="str" cm="1">
        <f t="array" ref="G901">_xlfn.IFS(F901="","",G900-F901&lt;1,0,ISBLANK(F901)=TRUE,"",G900-F901&gt;1,G900-F901)</f>
        <v/>
      </c>
      <c r="H901" s="33" t="str">
        <f t="shared" si="14"/>
        <v/>
      </c>
      <c r="I901" s="2" t="str" cm="1">
        <f t="array" ref="I901">_xlfn.IFS(OR(D901="",E901="",F901=""),"",MOD(D901,12)&lt;&gt;0,"",MOD(D901,12)=0,"Year End"&amp;" "&amp;D901/12)</f>
        <v/>
      </c>
      <c r="V901">
        <v>890</v>
      </c>
    </row>
    <row r="902" spans="4:22">
      <c r="D902" s="30" t="str">
        <f>IF(V902&lt;=calcs!$F$4,'Loan Calculator'!V902,"")</f>
        <v/>
      </c>
      <c r="E902" s="27" t="str" cm="1">
        <f t="array" ref="E902">_xlfn.IFS(F902="","",G901&lt;F901,G901*calcs!$H$3,$D$8&lt;=0,$M$3-F902,$D$8&gt;0,$M$3-F902+$D$8,G901&lt;F901,G902*calcs!$H$3)</f>
        <v/>
      </c>
      <c r="F902" s="27" t="str" cm="1">
        <f t="array" ref="F902">_xlfn.IFS(F901="","",G901=0,"",G901&lt;1,"",G901&lt;F901,G901,AND(G901&gt;0,$D$8&gt;0),$D$8+($M$3-(G901*calcs!$H$3)),G901&gt;0,$M$3-(G901*calcs!$H$3))</f>
        <v/>
      </c>
      <c r="G902" s="27" t="str" cm="1">
        <f t="array" ref="G902">_xlfn.IFS(F902="","",G901-F902&lt;1,0,ISBLANK(F902)=TRUE,"",G901-F902&gt;1,G901-F902)</f>
        <v/>
      </c>
      <c r="H902" s="31" t="str">
        <f t="shared" si="14"/>
        <v/>
      </c>
      <c r="I902" s="2" t="str" cm="1">
        <f t="array" ref="I902">_xlfn.IFS(OR(D902="",E902="",F902=""),"",MOD(D902,12)&lt;&gt;0,"",MOD(D902,12)=0,"Year End"&amp;" "&amp;D902/12)</f>
        <v/>
      </c>
      <c r="V902">
        <v>891</v>
      </c>
    </row>
    <row r="903" spans="4:22">
      <c r="D903" s="32" t="str">
        <f>IF(V903&lt;=calcs!$F$4,'Loan Calculator'!V903,"")</f>
        <v/>
      </c>
      <c r="E903" s="29" t="str" cm="1">
        <f t="array" ref="E903">_xlfn.IFS(F903="","",G902&lt;F902,G902*calcs!$H$3,$D$8&lt;=0,$M$3-F903,$D$8&gt;0,$M$3-F903+$D$8,G902&lt;F902,G903*calcs!$H$3)</f>
        <v/>
      </c>
      <c r="F903" s="29" t="str" cm="1">
        <f t="array" ref="F903">_xlfn.IFS(F902="","",G902=0,"",G902&lt;1,"",G902&lt;F902,G902,AND(G902&gt;0,$D$8&gt;0),$D$8+($M$3-(G902*calcs!$H$3)),G902&gt;0,$M$3-(G902*calcs!$H$3))</f>
        <v/>
      </c>
      <c r="G903" s="29" t="str" cm="1">
        <f t="array" ref="G903">_xlfn.IFS(F903="","",G902-F903&lt;1,0,ISBLANK(F903)=TRUE,"",G902-F903&gt;1,G902-F903)</f>
        <v/>
      </c>
      <c r="H903" s="33" t="str">
        <f t="shared" si="14"/>
        <v/>
      </c>
      <c r="I903" s="2" t="str" cm="1">
        <f t="array" ref="I903">_xlfn.IFS(OR(D903="",E903="",F903=""),"",MOD(D903,12)&lt;&gt;0,"",MOD(D903,12)=0,"Year End"&amp;" "&amp;D903/12)</f>
        <v/>
      </c>
      <c r="V903">
        <v>892</v>
      </c>
    </row>
    <row r="904" spans="4:22">
      <c r="D904" s="30" t="str">
        <f>IF(V904&lt;=calcs!$F$4,'Loan Calculator'!V904,"")</f>
        <v/>
      </c>
      <c r="E904" s="27" t="str" cm="1">
        <f t="array" ref="E904">_xlfn.IFS(F904="","",G903&lt;F903,G903*calcs!$H$3,$D$8&lt;=0,$M$3-F904,$D$8&gt;0,$M$3-F904+$D$8,G903&lt;F903,G904*calcs!$H$3)</f>
        <v/>
      </c>
      <c r="F904" s="27" t="str" cm="1">
        <f t="array" ref="F904">_xlfn.IFS(F903="","",G903=0,"",G903&lt;1,"",G903&lt;F903,G903,AND(G903&gt;0,$D$8&gt;0),$D$8+($M$3-(G903*calcs!$H$3)),G903&gt;0,$M$3-(G903*calcs!$H$3))</f>
        <v/>
      </c>
      <c r="G904" s="27" t="str" cm="1">
        <f t="array" ref="G904">_xlfn.IFS(F904="","",G903-F904&lt;1,0,ISBLANK(F904)=TRUE,"",G903-F904&gt;1,G903-F904)</f>
        <v/>
      </c>
      <c r="H904" s="31" t="str">
        <f t="shared" si="14"/>
        <v/>
      </c>
      <c r="I904" s="2" t="str" cm="1">
        <f t="array" ref="I904">_xlfn.IFS(OR(D904="",E904="",F904=""),"",MOD(D904,12)&lt;&gt;0,"",MOD(D904,12)=0,"Year End"&amp;" "&amp;D904/12)</f>
        <v/>
      </c>
      <c r="V904">
        <v>893</v>
      </c>
    </row>
    <row r="905" spans="4:22">
      <c r="D905" s="32" t="str">
        <f>IF(V905&lt;=calcs!$F$4,'Loan Calculator'!V905,"")</f>
        <v/>
      </c>
      <c r="E905" s="29" t="str" cm="1">
        <f t="array" ref="E905">_xlfn.IFS(F905="","",G904&lt;F904,G904*calcs!$H$3,$D$8&lt;=0,$M$3-F905,$D$8&gt;0,$M$3-F905+$D$8,G904&lt;F904,G905*calcs!$H$3)</f>
        <v/>
      </c>
      <c r="F905" s="29" t="str" cm="1">
        <f t="array" ref="F905">_xlfn.IFS(F904="","",G904=0,"",G904&lt;1,"",G904&lt;F904,G904,AND(G904&gt;0,$D$8&gt;0),$D$8+($M$3-(G904*calcs!$H$3)),G904&gt;0,$M$3-(G904*calcs!$H$3))</f>
        <v/>
      </c>
      <c r="G905" s="29" t="str" cm="1">
        <f t="array" ref="G905">_xlfn.IFS(F905="","",G904-F905&lt;1,0,ISBLANK(F905)=TRUE,"",G904-F905&gt;1,G904-F905)</f>
        <v/>
      </c>
      <c r="H905" s="33" t="str">
        <f t="shared" si="14"/>
        <v/>
      </c>
      <c r="I905" s="2" t="str" cm="1">
        <f t="array" ref="I905">_xlfn.IFS(OR(D905="",E905="",F905=""),"",MOD(D905,12)&lt;&gt;0,"",MOD(D905,12)=0,"Year End"&amp;" "&amp;D905/12)</f>
        <v/>
      </c>
      <c r="V905">
        <v>894</v>
      </c>
    </row>
    <row r="906" spans="4:22">
      <c r="D906" s="30" t="str">
        <f>IF(V906&lt;=calcs!$F$4,'Loan Calculator'!V906,"")</f>
        <v/>
      </c>
      <c r="E906" s="27" t="str" cm="1">
        <f t="array" ref="E906">_xlfn.IFS(F906="","",G905&lt;F905,G905*calcs!$H$3,$D$8&lt;=0,$M$3-F906,$D$8&gt;0,$M$3-F906+$D$8,G905&lt;F905,G906*calcs!$H$3)</f>
        <v/>
      </c>
      <c r="F906" s="27" t="str" cm="1">
        <f t="array" ref="F906">_xlfn.IFS(F905="","",G905=0,"",G905&lt;1,"",G905&lt;F905,G905,AND(G905&gt;0,$D$8&gt;0),$D$8+($M$3-(G905*calcs!$H$3)),G905&gt;0,$M$3-(G905*calcs!$H$3))</f>
        <v/>
      </c>
      <c r="G906" s="27" t="str" cm="1">
        <f t="array" ref="G906">_xlfn.IFS(F906="","",G905-F906&lt;1,0,ISBLANK(F906)=TRUE,"",G905-F906&gt;1,G905-F906)</f>
        <v/>
      </c>
      <c r="H906" s="31" t="str">
        <f t="shared" si="14"/>
        <v/>
      </c>
      <c r="I906" s="2" t="str" cm="1">
        <f t="array" ref="I906">_xlfn.IFS(OR(D906="",E906="",F906=""),"",MOD(D906,12)&lt;&gt;0,"",MOD(D906,12)=0,"Year End"&amp;" "&amp;D906/12)</f>
        <v/>
      </c>
      <c r="V906">
        <v>895</v>
      </c>
    </row>
    <row r="907" spans="4:22">
      <c r="D907" s="32" t="str">
        <f>IF(V907&lt;=calcs!$F$4,'Loan Calculator'!V907,"")</f>
        <v/>
      </c>
      <c r="E907" s="29" t="str" cm="1">
        <f t="array" ref="E907">_xlfn.IFS(F907="","",G906&lt;F906,G906*calcs!$H$3,$D$8&lt;=0,$M$3-F907,$D$8&gt;0,$M$3-F907+$D$8,G906&lt;F906,G907*calcs!$H$3)</f>
        <v/>
      </c>
      <c r="F907" s="29" t="str" cm="1">
        <f t="array" ref="F907">_xlfn.IFS(F906="","",G906=0,"",G906&lt;1,"",G906&lt;F906,G906,AND(G906&gt;0,$D$8&gt;0),$D$8+($M$3-(G906*calcs!$H$3)),G906&gt;0,$M$3-(G906*calcs!$H$3))</f>
        <v/>
      </c>
      <c r="G907" s="29" t="str" cm="1">
        <f t="array" ref="G907">_xlfn.IFS(F907="","",G906-F907&lt;1,0,ISBLANK(F907)=TRUE,"",G906-F907&gt;1,G906-F907)</f>
        <v/>
      </c>
      <c r="H907" s="33" t="str">
        <f t="shared" si="14"/>
        <v/>
      </c>
      <c r="I907" s="2" t="str" cm="1">
        <f t="array" ref="I907">_xlfn.IFS(OR(D907="",E907="",F907=""),"",MOD(D907,12)&lt;&gt;0,"",MOD(D907,12)=0,"Year End"&amp;" "&amp;D907/12)</f>
        <v/>
      </c>
      <c r="V907">
        <v>896</v>
      </c>
    </row>
    <row r="908" spans="4:22">
      <c r="D908" s="30" t="str">
        <f>IF(V908&lt;=calcs!$F$4,'Loan Calculator'!V908,"")</f>
        <v/>
      </c>
      <c r="E908" s="27" t="str" cm="1">
        <f t="array" ref="E908">_xlfn.IFS(F908="","",G907&lt;F907,G907*calcs!$H$3,$D$8&lt;=0,$M$3-F908,$D$8&gt;0,$M$3-F908+$D$8,G907&lt;F907,G908*calcs!$H$3)</f>
        <v/>
      </c>
      <c r="F908" s="27" t="str" cm="1">
        <f t="array" ref="F908">_xlfn.IFS(F907="","",G907=0,"",G907&lt;1,"",G907&lt;F907,G907,AND(G907&gt;0,$D$8&gt;0),$D$8+($M$3-(G907*calcs!$H$3)),G907&gt;0,$M$3-(G907*calcs!$H$3))</f>
        <v/>
      </c>
      <c r="G908" s="27" t="str" cm="1">
        <f t="array" ref="G908">_xlfn.IFS(F908="","",G907-F908&lt;1,0,ISBLANK(F908)=TRUE,"",G907-F908&gt;1,G907-F908)</f>
        <v/>
      </c>
      <c r="H908" s="31" t="str">
        <f t="shared" si="14"/>
        <v/>
      </c>
      <c r="I908" s="2" t="str" cm="1">
        <f t="array" ref="I908">_xlfn.IFS(OR(D908="",E908="",F908=""),"",MOD(D908,12)&lt;&gt;0,"",MOD(D908,12)=0,"Year End"&amp;" "&amp;D908/12)</f>
        <v/>
      </c>
      <c r="V908">
        <v>897</v>
      </c>
    </row>
    <row r="909" spans="4:22">
      <c r="D909" s="32" t="str">
        <f>IF(V909&lt;=calcs!$F$4,'Loan Calculator'!V909,"")</f>
        <v/>
      </c>
      <c r="E909" s="29" t="str" cm="1">
        <f t="array" ref="E909">_xlfn.IFS(F909="","",G908&lt;F908,G908*calcs!$H$3,$D$8&lt;=0,$M$3-F909,$D$8&gt;0,$M$3-F909+$D$8,G908&lt;F908,G909*calcs!$H$3)</f>
        <v/>
      </c>
      <c r="F909" s="29" t="str" cm="1">
        <f t="array" ref="F909">_xlfn.IFS(F908="","",G908=0,"",G908&lt;1,"",G908&lt;F908,G908,AND(G908&gt;0,$D$8&gt;0),$D$8+($M$3-(G908*calcs!$H$3)),G908&gt;0,$M$3-(G908*calcs!$H$3))</f>
        <v/>
      </c>
      <c r="G909" s="29" t="str" cm="1">
        <f t="array" ref="G909">_xlfn.IFS(F909="","",G908-F909&lt;1,0,ISBLANK(F909)=TRUE,"",G908-F909&gt;1,G908-F909)</f>
        <v/>
      </c>
      <c r="H909" s="33" t="str">
        <f t="shared" si="14"/>
        <v/>
      </c>
      <c r="I909" s="2" t="str" cm="1">
        <f t="array" ref="I909">_xlfn.IFS(OR(D909="",E909="",F909=""),"",MOD(D909,12)&lt;&gt;0,"",MOD(D909,12)=0,"Year End"&amp;" "&amp;D909/12)</f>
        <v/>
      </c>
      <c r="V909">
        <v>898</v>
      </c>
    </row>
    <row r="910" spans="4:22">
      <c r="D910" s="30" t="str">
        <f>IF(V910&lt;=calcs!$F$4,'Loan Calculator'!V910,"")</f>
        <v/>
      </c>
      <c r="E910" s="27" t="str" cm="1">
        <f t="array" ref="E910">_xlfn.IFS(F910="","",G909&lt;F909,G909*calcs!$H$3,$D$8&lt;=0,$M$3-F910,$D$8&gt;0,$M$3-F910+$D$8,G909&lt;F909,G910*calcs!$H$3)</f>
        <v/>
      </c>
      <c r="F910" s="27" t="str" cm="1">
        <f t="array" ref="F910">_xlfn.IFS(F909="","",G909=0,"",G909&lt;1,"",G909&lt;F909,G909,AND(G909&gt;0,$D$8&gt;0),$D$8+($M$3-(G909*calcs!$H$3)),G909&gt;0,$M$3-(G909*calcs!$H$3))</f>
        <v/>
      </c>
      <c r="G910" s="27" t="str" cm="1">
        <f t="array" ref="G910">_xlfn.IFS(F910="","",G909-F910&lt;1,0,ISBLANK(F910)=TRUE,"",G909-F910&gt;1,G909-F910)</f>
        <v/>
      </c>
      <c r="H910" s="31" t="str">
        <f t="shared" ref="H910:H973" si="15">IF(OR(H909=0,H909="",E910="",F910=""),"",H909+E910+F910)</f>
        <v/>
      </c>
      <c r="I910" s="2" t="str" cm="1">
        <f t="array" ref="I910">_xlfn.IFS(OR(D910="",E910="",F910=""),"",MOD(D910,12)&lt;&gt;0,"",MOD(D910,12)=0,"Year End"&amp;" "&amp;D910/12)</f>
        <v/>
      </c>
      <c r="V910">
        <v>899</v>
      </c>
    </row>
    <row r="911" spans="4:22">
      <c r="D911" s="32" t="str">
        <f>IF(V911&lt;=calcs!$F$4,'Loan Calculator'!V911,"")</f>
        <v/>
      </c>
      <c r="E911" s="29" t="str" cm="1">
        <f t="array" ref="E911">_xlfn.IFS(F911="","",G910&lt;F910,G910*calcs!$H$3,$D$8&lt;=0,$M$3-F911,$D$8&gt;0,$M$3-F911+$D$8,G910&lt;F910,G911*calcs!$H$3)</f>
        <v/>
      </c>
      <c r="F911" s="29" t="str" cm="1">
        <f t="array" ref="F911">_xlfn.IFS(F910="","",G910=0,"",G910&lt;1,"",G910&lt;F910,G910,AND(G910&gt;0,$D$8&gt;0),$D$8+($M$3-(G910*calcs!$H$3)),G910&gt;0,$M$3-(G910*calcs!$H$3))</f>
        <v/>
      </c>
      <c r="G911" s="29" t="str" cm="1">
        <f t="array" ref="G911">_xlfn.IFS(F911="","",G910-F911&lt;1,0,ISBLANK(F911)=TRUE,"",G910-F911&gt;1,G910-F911)</f>
        <v/>
      </c>
      <c r="H911" s="33" t="str">
        <f t="shared" si="15"/>
        <v/>
      </c>
      <c r="I911" s="2" t="str" cm="1">
        <f t="array" ref="I911">_xlfn.IFS(OR(D911="",E911="",F911=""),"",MOD(D911,12)&lt;&gt;0,"",MOD(D911,12)=0,"Year End"&amp;" "&amp;D911/12)</f>
        <v/>
      </c>
      <c r="V911">
        <v>900</v>
      </c>
    </row>
    <row r="912" spans="4:22">
      <c r="D912" s="30" t="str">
        <f>IF(V912&lt;=calcs!$F$4,'Loan Calculator'!V912,"")</f>
        <v/>
      </c>
      <c r="E912" s="27" t="str" cm="1">
        <f t="array" ref="E912">_xlfn.IFS(F912="","",G911&lt;F911,G911*calcs!$H$3,$D$8&lt;=0,$M$3-F912,$D$8&gt;0,$M$3-F912+$D$8,G911&lt;F911,G912*calcs!$H$3)</f>
        <v/>
      </c>
      <c r="F912" s="27" t="str" cm="1">
        <f t="array" ref="F912">_xlfn.IFS(F911="","",G911=0,"",G911&lt;1,"",G911&lt;F911,G911,AND(G911&gt;0,$D$8&gt;0),$D$8+($M$3-(G911*calcs!$H$3)),G911&gt;0,$M$3-(G911*calcs!$H$3))</f>
        <v/>
      </c>
      <c r="G912" s="27" t="str" cm="1">
        <f t="array" ref="G912">_xlfn.IFS(F912="","",G911-F912&lt;1,0,ISBLANK(F912)=TRUE,"",G911-F912&gt;1,G911-F912)</f>
        <v/>
      </c>
      <c r="H912" s="31" t="str">
        <f t="shared" si="15"/>
        <v/>
      </c>
      <c r="I912" s="2" t="str" cm="1">
        <f t="array" ref="I912">_xlfn.IFS(OR(D912="",E912="",F912=""),"",MOD(D912,12)&lt;&gt;0,"",MOD(D912,12)=0,"Year End"&amp;" "&amp;D912/12)</f>
        <v/>
      </c>
      <c r="V912">
        <v>901</v>
      </c>
    </row>
    <row r="913" spans="4:22">
      <c r="D913" s="32" t="str">
        <f>IF(V913&lt;=calcs!$F$4,'Loan Calculator'!V913,"")</f>
        <v/>
      </c>
      <c r="E913" s="29" t="str" cm="1">
        <f t="array" ref="E913">_xlfn.IFS(F913="","",G912&lt;F912,G912*calcs!$H$3,$D$8&lt;=0,$M$3-F913,$D$8&gt;0,$M$3-F913+$D$8,G912&lt;F912,G913*calcs!$H$3)</f>
        <v/>
      </c>
      <c r="F913" s="29" t="str" cm="1">
        <f t="array" ref="F913">_xlfn.IFS(F912="","",G912=0,"",G912&lt;1,"",G912&lt;F912,G912,AND(G912&gt;0,$D$8&gt;0),$D$8+($M$3-(G912*calcs!$H$3)),G912&gt;0,$M$3-(G912*calcs!$H$3))</f>
        <v/>
      </c>
      <c r="G913" s="29" t="str" cm="1">
        <f t="array" ref="G913">_xlfn.IFS(F913="","",G912-F913&lt;1,0,ISBLANK(F913)=TRUE,"",G912-F913&gt;1,G912-F913)</f>
        <v/>
      </c>
      <c r="H913" s="33" t="str">
        <f t="shared" si="15"/>
        <v/>
      </c>
      <c r="I913" s="2" t="str" cm="1">
        <f t="array" ref="I913">_xlfn.IFS(OR(D913="",E913="",F913=""),"",MOD(D913,12)&lt;&gt;0,"",MOD(D913,12)=0,"Year End"&amp;" "&amp;D913/12)</f>
        <v/>
      </c>
      <c r="V913">
        <v>902</v>
      </c>
    </row>
    <row r="914" spans="4:22">
      <c r="D914" s="30" t="str">
        <f>IF(V914&lt;=calcs!$F$4,'Loan Calculator'!V914,"")</f>
        <v/>
      </c>
      <c r="E914" s="27" t="str" cm="1">
        <f t="array" ref="E914">_xlfn.IFS(F914="","",G913&lt;F913,G913*calcs!$H$3,$D$8&lt;=0,$M$3-F914,$D$8&gt;0,$M$3-F914+$D$8,G913&lt;F913,G914*calcs!$H$3)</f>
        <v/>
      </c>
      <c r="F914" s="27" t="str" cm="1">
        <f t="array" ref="F914">_xlfn.IFS(F913="","",G913=0,"",G913&lt;1,"",G913&lt;F913,G913,AND(G913&gt;0,$D$8&gt;0),$D$8+($M$3-(G913*calcs!$H$3)),G913&gt;0,$M$3-(G913*calcs!$H$3))</f>
        <v/>
      </c>
      <c r="G914" s="27" t="str" cm="1">
        <f t="array" ref="G914">_xlfn.IFS(F914="","",G913-F914&lt;1,0,ISBLANK(F914)=TRUE,"",G913-F914&gt;1,G913-F914)</f>
        <v/>
      </c>
      <c r="H914" s="31" t="str">
        <f t="shared" si="15"/>
        <v/>
      </c>
      <c r="I914" s="2" t="str" cm="1">
        <f t="array" ref="I914">_xlfn.IFS(OR(D914="",E914="",F914=""),"",MOD(D914,12)&lt;&gt;0,"",MOD(D914,12)=0,"Year End"&amp;" "&amp;D914/12)</f>
        <v/>
      </c>
      <c r="V914">
        <v>903</v>
      </c>
    </row>
    <row r="915" spans="4:22">
      <c r="D915" s="32" t="str">
        <f>IF(V915&lt;=calcs!$F$4,'Loan Calculator'!V915,"")</f>
        <v/>
      </c>
      <c r="E915" s="29" t="str" cm="1">
        <f t="array" ref="E915">_xlfn.IFS(F915="","",G914&lt;F914,G914*calcs!$H$3,$D$8&lt;=0,$M$3-F915,$D$8&gt;0,$M$3-F915+$D$8,G914&lt;F914,G915*calcs!$H$3)</f>
        <v/>
      </c>
      <c r="F915" s="29" t="str" cm="1">
        <f t="array" ref="F915">_xlfn.IFS(F914="","",G914=0,"",G914&lt;1,"",G914&lt;F914,G914,AND(G914&gt;0,$D$8&gt;0),$D$8+($M$3-(G914*calcs!$H$3)),G914&gt;0,$M$3-(G914*calcs!$H$3))</f>
        <v/>
      </c>
      <c r="G915" s="29" t="str" cm="1">
        <f t="array" ref="G915">_xlfn.IFS(F915="","",G914-F915&lt;1,0,ISBLANK(F915)=TRUE,"",G914-F915&gt;1,G914-F915)</f>
        <v/>
      </c>
      <c r="H915" s="33" t="str">
        <f t="shared" si="15"/>
        <v/>
      </c>
      <c r="I915" s="2" t="str" cm="1">
        <f t="array" ref="I915">_xlfn.IFS(OR(D915="",E915="",F915=""),"",MOD(D915,12)&lt;&gt;0,"",MOD(D915,12)=0,"Year End"&amp;" "&amp;D915/12)</f>
        <v/>
      </c>
      <c r="V915">
        <v>904</v>
      </c>
    </row>
    <row r="916" spans="4:22">
      <c r="D916" s="30" t="str">
        <f>IF(V916&lt;=calcs!$F$4,'Loan Calculator'!V916,"")</f>
        <v/>
      </c>
      <c r="E916" s="27" t="str" cm="1">
        <f t="array" ref="E916">_xlfn.IFS(F916="","",G915&lt;F915,G915*calcs!$H$3,$D$8&lt;=0,$M$3-F916,$D$8&gt;0,$M$3-F916+$D$8,G915&lt;F915,G916*calcs!$H$3)</f>
        <v/>
      </c>
      <c r="F916" s="27" t="str" cm="1">
        <f t="array" ref="F916">_xlfn.IFS(F915="","",G915=0,"",G915&lt;1,"",G915&lt;F915,G915,AND(G915&gt;0,$D$8&gt;0),$D$8+($M$3-(G915*calcs!$H$3)),G915&gt;0,$M$3-(G915*calcs!$H$3))</f>
        <v/>
      </c>
      <c r="G916" s="27" t="str" cm="1">
        <f t="array" ref="G916">_xlfn.IFS(F916="","",G915-F916&lt;1,0,ISBLANK(F916)=TRUE,"",G915-F916&gt;1,G915-F916)</f>
        <v/>
      </c>
      <c r="H916" s="31" t="str">
        <f t="shared" si="15"/>
        <v/>
      </c>
      <c r="I916" s="2" t="str" cm="1">
        <f t="array" ref="I916">_xlfn.IFS(OR(D916="",E916="",F916=""),"",MOD(D916,12)&lt;&gt;0,"",MOD(D916,12)=0,"Year End"&amp;" "&amp;D916/12)</f>
        <v/>
      </c>
      <c r="V916">
        <v>905</v>
      </c>
    </row>
    <row r="917" spans="4:22">
      <c r="D917" s="32" t="str">
        <f>IF(V917&lt;=calcs!$F$4,'Loan Calculator'!V917,"")</f>
        <v/>
      </c>
      <c r="E917" s="29" t="str" cm="1">
        <f t="array" ref="E917">_xlfn.IFS(F917="","",G916&lt;F916,G916*calcs!$H$3,$D$8&lt;=0,$M$3-F917,$D$8&gt;0,$M$3-F917+$D$8,G916&lt;F916,G917*calcs!$H$3)</f>
        <v/>
      </c>
      <c r="F917" s="29" t="str" cm="1">
        <f t="array" ref="F917">_xlfn.IFS(F916="","",G916=0,"",G916&lt;1,"",G916&lt;F916,G916,AND(G916&gt;0,$D$8&gt;0),$D$8+($M$3-(G916*calcs!$H$3)),G916&gt;0,$M$3-(G916*calcs!$H$3))</f>
        <v/>
      </c>
      <c r="G917" s="29" t="str" cm="1">
        <f t="array" ref="G917">_xlfn.IFS(F917="","",G916-F917&lt;1,0,ISBLANK(F917)=TRUE,"",G916-F917&gt;1,G916-F917)</f>
        <v/>
      </c>
      <c r="H917" s="33" t="str">
        <f t="shared" si="15"/>
        <v/>
      </c>
      <c r="I917" s="2" t="str" cm="1">
        <f t="array" ref="I917">_xlfn.IFS(OR(D917="",E917="",F917=""),"",MOD(D917,12)&lt;&gt;0,"",MOD(D917,12)=0,"Year End"&amp;" "&amp;D917/12)</f>
        <v/>
      </c>
      <c r="V917">
        <v>906</v>
      </c>
    </row>
    <row r="918" spans="4:22">
      <c r="D918" s="30" t="str">
        <f>IF(V918&lt;=calcs!$F$4,'Loan Calculator'!V918,"")</f>
        <v/>
      </c>
      <c r="E918" s="27" t="str" cm="1">
        <f t="array" ref="E918">_xlfn.IFS(F918="","",G917&lt;F917,G917*calcs!$H$3,$D$8&lt;=0,$M$3-F918,$D$8&gt;0,$M$3-F918+$D$8,G917&lt;F917,G918*calcs!$H$3)</f>
        <v/>
      </c>
      <c r="F918" s="27" t="str" cm="1">
        <f t="array" ref="F918">_xlfn.IFS(F917="","",G917=0,"",G917&lt;1,"",G917&lt;F917,G917,AND(G917&gt;0,$D$8&gt;0),$D$8+($M$3-(G917*calcs!$H$3)),G917&gt;0,$M$3-(G917*calcs!$H$3))</f>
        <v/>
      </c>
      <c r="G918" s="27" t="str" cm="1">
        <f t="array" ref="G918">_xlfn.IFS(F918="","",G917-F918&lt;1,0,ISBLANK(F918)=TRUE,"",G917-F918&gt;1,G917-F918)</f>
        <v/>
      </c>
      <c r="H918" s="31" t="str">
        <f t="shared" si="15"/>
        <v/>
      </c>
      <c r="I918" s="2" t="str" cm="1">
        <f t="array" ref="I918">_xlfn.IFS(OR(D918="",E918="",F918=""),"",MOD(D918,12)&lt;&gt;0,"",MOD(D918,12)=0,"Year End"&amp;" "&amp;D918/12)</f>
        <v/>
      </c>
      <c r="V918">
        <v>907</v>
      </c>
    </row>
    <row r="919" spans="4:22">
      <c r="D919" s="32" t="str">
        <f>IF(V919&lt;=calcs!$F$4,'Loan Calculator'!V919,"")</f>
        <v/>
      </c>
      <c r="E919" s="29" t="str" cm="1">
        <f t="array" ref="E919">_xlfn.IFS(F919="","",G918&lt;F918,G918*calcs!$H$3,$D$8&lt;=0,$M$3-F919,$D$8&gt;0,$M$3-F919+$D$8,G918&lt;F918,G919*calcs!$H$3)</f>
        <v/>
      </c>
      <c r="F919" s="29" t="str" cm="1">
        <f t="array" ref="F919">_xlfn.IFS(F918="","",G918=0,"",G918&lt;1,"",G918&lt;F918,G918,AND(G918&gt;0,$D$8&gt;0),$D$8+($M$3-(G918*calcs!$H$3)),G918&gt;0,$M$3-(G918*calcs!$H$3))</f>
        <v/>
      </c>
      <c r="G919" s="29" t="str" cm="1">
        <f t="array" ref="G919">_xlfn.IFS(F919="","",G918-F919&lt;1,0,ISBLANK(F919)=TRUE,"",G918-F919&gt;1,G918-F919)</f>
        <v/>
      </c>
      <c r="H919" s="33" t="str">
        <f t="shared" si="15"/>
        <v/>
      </c>
      <c r="I919" s="2" t="str" cm="1">
        <f t="array" ref="I919">_xlfn.IFS(OR(D919="",E919="",F919=""),"",MOD(D919,12)&lt;&gt;0,"",MOD(D919,12)=0,"Year End"&amp;" "&amp;D919/12)</f>
        <v/>
      </c>
      <c r="V919">
        <v>908</v>
      </c>
    </row>
    <row r="920" spans="4:22">
      <c r="D920" s="30" t="str">
        <f>IF(V920&lt;=calcs!$F$4,'Loan Calculator'!V920,"")</f>
        <v/>
      </c>
      <c r="E920" s="27" t="str" cm="1">
        <f t="array" ref="E920">_xlfn.IFS(F920="","",G919&lt;F919,G919*calcs!$H$3,$D$8&lt;=0,$M$3-F920,$D$8&gt;0,$M$3-F920+$D$8,G919&lt;F919,G920*calcs!$H$3)</f>
        <v/>
      </c>
      <c r="F920" s="27" t="str" cm="1">
        <f t="array" ref="F920">_xlfn.IFS(F919="","",G919=0,"",G919&lt;1,"",G919&lt;F919,G919,AND(G919&gt;0,$D$8&gt;0),$D$8+($M$3-(G919*calcs!$H$3)),G919&gt;0,$M$3-(G919*calcs!$H$3))</f>
        <v/>
      </c>
      <c r="G920" s="27" t="str" cm="1">
        <f t="array" ref="G920">_xlfn.IFS(F920="","",G919-F920&lt;1,0,ISBLANK(F920)=TRUE,"",G919-F920&gt;1,G919-F920)</f>
        <v/>
      </c>
      <c r="H920" s="31" t="str">
        <f t="shared" si="15"/>
        <v/>
      </c>
      <c r="I920" s="2" t="str" cm="1">
        <f t="array" ref="I920">_xlfn.IFS(OR(D920="",E920="",F920=""),"",MOD(D920,12)&lt;&gt;0,"",MOD(D920,12)=0,"Year End"&amp;" "&amp;D920/12)</f>
        <v/>
      </c>
      <c r="V920">
        <v>909</v>
      </c>
    </row>
    <row r="921" spans="4:22">
      <c r="D921" s="32" t="str">
        <f>IF(V921&lt;=calcs!$F$4,'Loan Calculator'!V921,"")</f>
        <v/>
      </c>
      <c r="E921" s="29" t="str" cm="1">
        <f t="array" ref="E921">_xlfn.IFS(F921="","",G920&lt;F920,G920*calcs!$H$3,$D$8&lt;=0,$M$3-F921,$D$8&gt;0,$M$3-F921+$D$8,G920&lt;F920,G921*calcs!$H$3)</f>
        <v/>
      </c>
      <c r="F921" s="29" t="str" cm="1">
        <f t="array" ref="F921">_xlfn.IFS(F920="","",G920=0,"",G920&lt;1,"",G920&lt;F920,G920,AND(G920&gt;0,$D$8&gt;0),$D$8+($M$3-(G920*calcs!$H$3)),G920&gt;0,$M$3-(G920*calcs!$H$3))</f>
        <v/>
      </c>
      <c r="G921" s="29" t="str" cm="1">
        <f t="array" ref="G921">_xlfn.IFS(F921="","",G920-F921&lt;1,0,ISBLANK(F921)=TRUE,"",G920-F921&gt;1,G920-F921)</f>
        <v/>
      </c>
      <c r="H921" s="33" t="str">
        <f t="shared" si="15"/>
        <v/>
      </c>
      <c r="I921" s="2" t="str" cm="1">
        <f t="array" ref="I921">_xlfn.IFS(OR(D921="",E921="",F921=""),"",MOD(D921,12)&lt;&gt;0,"",MOD(D921,12)=0,"Year End"&amp;" "&amp;D921/12)</f>
        <v/>
      </c>
      <c r="V921">
        <v>910</v>
      </c>
    </row>
    <row r="922" spans="4:22">
      <c r="D922" s="30" t="str">
        <f>IF(V922&lt;=calcs!$F$4,'Loan Calculator'!V922,"")</f>
        <v/>
      </c>
      <c r="E922" s="27" t="str" cm="1">
        <f t="array" ref="E922">_xlfn.IFS(F922="","",G921&lt;F921,G921*calcs!$H$3,$D$8&lt;=0,$M$3-F922,$D$8&gt;0,$M$3-F922+$D$8,G921&lt;F921,G922*calcs!$H$3)</f>
        <v/>
      </c>
      <c r="F922" s="27" t="str" cm="1">
        <f t="array" ref="F922">_xlfn.IFS(F921="","",G921=0,"",G921&lt;1,"",G921&lt;F921,G921,AND(G921&gt;0,$D$8&gt;0),$D$8+($M$3-(G921*calcs!$H$3)),G921&gt;0,$M$3-(G921*calcs!$H$3))</f>
        <v/>
      </c>
      <c r="G922" s="27" t="str" cm="1">
        <f t="array" ref="G922">_xlfn.IFS(F922="","",G921-F922&lt;1,0,ISBLANK(F922)=TRUE,"",G921-F922&gt;1,G921-F922)</f>
        <v/>
      </c>
      <c r="H922" s="31" t="str">
        <f t="shared" si="15"/>
        <v/>
      </c>
      <c r="I922" s="2" t="str" cm="1">
        <f t="array" ref="I922">_xlfn.IFS(OR(D922="",E922="",F922=""),"",MOD(D922,12)&lt;&gt;0,"",MOD(D922,12)=0,"Year End"&amp;" "&amp;D922/12)</f>
        <v/>
      </c>
      <c r="V922">
        <v>911</v>
      </c>
    </row>
    <row r="923" spans="4:22">
      <c r="D923" s="32" t="str">
        <f>IF(V923&lt;=calcs!$F$4,'Loan Calculator'!V923,"")</f>
        <v/>
      </c>
      <c r="E923" s="29" t="str" cm="1">
        <f t="array" ref="E923">_xlfn.IFS(F923="","",G922&lt;F922,G922*calcs!$H$3,$D$8&lt;=0,$M$3-F923,$D$8&gt;0,$M$3-F923+$D$8,G922&lt;F922,G923*calcs!$H$3)</f>
        <v/>
      </c>
      <c r="F923" s="29" t="str" cm="1">
        <f t="array" ref="F923">_xlfn.IFS(F922="","",G922=0,"",G922&lt;1,"",G922&lt;F922,G922,AND(G922&gt;0,$D$8&gt;0),$D$8+($M$3-(G922*calcs!$H$3)),G922&gt;0,$M$3-(G922*calcs!$H$3))</f>
        <v/>
      </c>
      <c r="G923" s="29" t="str" cm="1">
        <f t="array" ref="G923">_xlfn.IFS(F923="","",G922-F923&lt;1,0,ISBLANK(F923)=TRUE,"",G922-F923&gt;1,G922-F923)</f>
        <v/>
      </c>
      <c r="H923" s="33" t="str">
        <f t="shared" si="15"/>
        <v/>
      </c>
      <c r="I923" s="2" t="str" cm="1">
        <f t="array" ref="I923">_xlfn.IFS(OR(D923="",E923="",F923=""),"",MOD(D923,12)&lt;&gt;0,"",MOD(D923,12)=0,"Year End"&amp;" "&amp;D923/12)</f>
        <v/>
      </c>
      <c r="V923">
        <v>912</v>
      </c>
    </row>
    <row r="924" spans="4:22">
      <c r="D924" s="30" t="str">
        <f>IF(V924&lt;=calcs!$F$4,'Loan Calculator'!V924,"")</f>
        <v/>
      </c>
      <c r="E924" s="27" t="str" cm="1">
        <f t="array" ref="E924">_xlfn.IFS(F924="","",G923&lt;F923,G923*calcs!$H$3,$D$8&lt;=0,$M$3-F924,$D$8&gt;0,$M$3-F924+$D$8,G923&lt;F923,G924*calcs!$H$3)</f>
        <v/>
      </c>
      <c r="F924" s="27" t="str" cm="1">
        <f t="array" ref="F924">_xlfn.IFS(F923="","",G923=0,"",G923&lt;1,"",G923&lt;F923,G923,AND(G923&gt;0,$D$8&gt;0),$D$8+($M$3-(G923*calcs!$H$3)),G923&gt;0,$M$3-(G923*calcs!$H$3))</f>
        <v/>
      </c>
      <c r="G924" s="27" t="str" cm="1">
        <f t="array" ref="G924">_xlfn.IFS(F924="","",G923-F924&lt;1,0,ISBLANK(F924)=TRUE,"",G923-F924&gt;1,G923-F924)</f>
        <v/>
      </c>
      <c r="H924" s="31" t="str">
        <f t="shared" si="15"/>
        <v/>
      </c>
      <c r="I924" s="2" t="str" cm="1">
        <f t="array" ref="I924">_xlfn.IFS(OR(D924="",E924="",F924=""),"",MOD(D924,12)&lt;&gt;0,"",MOD(D924,12)=0,"Year End"&amp;" "&amp;D924/12)</f>
        <v/>
      </c>
      <c r="V924">
        <v>913</v>
      </c>
    </row>
    <row r="925" spans="4:22">
      <c r="D925" s="32" t="str">
        <f>IF(V925&lt;=calcs!$F$4,'Loan Calculator'!V925,"")</f>
        <v/>
      </c>
      <c r="E925" s="29" t="str" cm="1">
        <f t="array" ref="E925">_xlfn.IFS(F925="","",G924&lt;F924,G924*calcs!$H$3,$D$8&lt;=0,$M$3-F925,$D$8&gt;0,$M$3-F925+$D$8,G924&lt;F924,G925*calcs!$H$3)</f>
        <v/>
      </c>
      <c r="F925" s="29" t="str" cm="1">
        <f t="array" ref="F925">_xlfn.IFS(F924="","",G924=0,"",G924&lt;1,"",G924&lt;F924,G924,AND(G924&gt;0,$D$8&gt;0),$D$8+($M$3-(G924*calcs!$H$3)),G924&gt;0,$M$3-(G924*calcs!$H$3))</f>
        <v/>
      </c>
      <c r="G925" s="29" t="str" cm="1">
        <f t="array" ref="G925">_xlfn.IFS(F925="","",G924-F925&lt;1,0,ISBLANK(F925)=TRUE,"",G924-F925&gt;1,G924-F925)</f>
        <v/>
      </c>
      <c r="H925" s="33" t="str">
        <f t="shared" si="15"/>
        <v/>
      </c>
      <c r="I925" s="2" t="str" cm="1">
        <f t="array" ref="I925">_xlfn.IFS(OR(D925="",E925="",F925=""),"",MOD(D925,12)&lt;&gt;0,"",MOD(D925,12)=0,"Year End"&amp;" "&amp;D925/12)</f>
        <v/>
      </c>
      <c r="V925">
        <v>914</v>
      </c>
    </row>
    <row r="926" spans="4:22">
      <c r="D926" s="30" t="str">
        <f>IF(V926&lt;=calcs!$F$4,'Loan Calculator'!V926,"")</f>
        <v/>
      </c>
      <c r="E926" s="27" t="str" cm="1">
        <f t="array" ref="E926">_xlfn.IFS(F926="","",G925&lt;F925,G925*calcs!$H$3,$D$8&lt;=0,$M$3-F926,$D$8&gt;0,$M$3-F926+$D$8,G925&lt;F925,G926*calcs!$H$3)</f>
        <v/>
      </c>
      <c r="F926" s="27" t="str" cm="1">
        <f t="array" ref="F926">_xlfn.IFS(F925="","",G925=0,"",G925&lt;1,"",G925&lt;F925,G925,AND(G925&gt;0,$D$8&gt;0),$D$8+($M$3-(G925*calcs!$H$3)),G925&gt;0,$M$3-(G925*calcs!$H$3))</f>
        <v/>
      </c>
      <c r="G926" s="27" t="str" cm="1">
        <f t="array" ref="G926">_xlfn.IFS(F926="","",G925-F926&lt;1,0,ISBLANK(F926)=TRUE,"",G925-F926&gt;1,G925-F926)</f>
        <v/>
      </c>
      <c r="H926" s="31" t="str">
        <f t="shared" si="15"/>
        <v/>
      </c>
      <c r="I926" s="2" t="str" cm="1">
        <f t="array" ref="I926">_xlfn.IFS(OR(D926="",E926="",F926=""),"",MOD(D926,12)&lt;&gt;0,"",MOD(D926,12)=0,"Year End"&amp;" "&amp;D926/12)</f>
        <v/>
      </c>
      <c r="V926">
        <v>915</v>
      </c>
    </row>
    <row r="927" spans="4:22">
      <c r="D927" s="32" t="str">
        <f>IF(V927&lt;=calcs!$F$4,'Loan Calculator'!V927,"")</f>
        <v/>
      </c>
      <c r="E927" s="29" t="str" cm="1">
        <f t="array" ref="E927">_xlfn.IFS(F927="","",G926&lt;F926,G926*calcs!$H$3,$D$8&lt;=0,$M$3-F927,$D$8&gt;0,$M$3-F927+$D$8,G926&lt;F926,G927*calcs!$H$3)</f>
        <v/>
      </c>
      <c r="F927" s="29" t="str" cm="1">
        <f t="array" ref="F927">_xlfn.IFS(F926="","",G926=0,"",G926&lt;1,"",G926&lt;F926,G926,AND(G926&gt;0,$D$8&gt;0),$D$8+($M$3-(G926*calcs!$H$3)),G926&gt;0,$M$3-(G926*calcs!$H$3))</f>
        <v/>
      </c>
      <c r="G927" s="29" t="str" cm="1">
        <f t="array" ref="G927">_xlfn.IFS(F927="","",G926-F927&lt;1,0,ISBLANK(F927)=TRUE,"",G926-F927&gt;1,G926-F927)</f>
        <v/>
      </c>
      <c r="H927" s="33" t="str">
        <f t="shared" si="15"/>
        <v/>
      </c>
      <c r="I927" s="2" t="str" cm="1">
        <f t="array" ref="I927">_xlfn.IFS(OR(D927="",E927="",F927=""),"",MOD(D927,12)&lt;&gt;0,"",MOD(D927,12)=0,"Year End"&amp;" "&amp;D927/12)</f>
        <v/>
      </c>
      <c r="V927">
        <v>916</v>
      </c>
    </row>
    <row r="928" spans="4:22">
      <c r="D928" s="30" t="str">
        <f>IF(V928&lt;=calcs!$F$4,'Loan Calculator'!V928,"")</f>
        <v/>
      </c>
      <c r="E928" s="27" t="str" cm="1">
        <f t="array" ref="E928">_xlfn.IFS(F928="","",G927&lt;F927,G927*calcs!$H$3,$D$8&lt;=0,$M$3-F928,$D$8&gt;0,$M$3-F928+$D$8,G927&lt;F927,G928*calcs!$H$3)</f>
        <v/>
      </c>
      <c r="F928" s="27" t="str" cm="1">
        <f t="array" ref="F928">_xlfn.IFS(F927="","",G927=0,"",G927&lt;1,"",G927&lt;F927,G927,AND(G927&gt;0,$D$8&gt;0),$D$8+($M$3-(G927*calcs!$H$3)),G927&gt;0,$M$3-(G927*calcs!$H$3))</f>
        <v/>
      </c>
      <c r="G928" s="27" t="str" cm="1">
        <f t="array" ref="G928">_xlfn.IFS(F928="","",G927-F928&lt;1,0,ISBLANK(F928)=TRUE,"",G927-F928&gt;1,G927-F928)</f>
        <v/>
      </c>
      <c r="H928" s="31" t="str">
        <f t="shared" si="15"/>
        <v/>
      </c>
      <c r="I928" s="2" t="str" cm="1">
        <f t="array" ref="I928">_xlfn.IFS(OR(D928="",E928="",F928=""),"",MOD(D928,12)&lt;&gt;0,"",MOD(D928,12)=0,"Year End"&amp;" "&amp;D928/12)</f>
        <v/>
      </c>
      <c r="V928">
        <v>917</v>
      </c>
    </row>
    <row r="929" spans="4:22">
      <c r="D929" s="32" t="str">
        <f>IF(V929&lt;=calcs!$F$4,'Loan Calculator'!V929,"")</f>
        <v/>
      </c>
      <c r="E929" s="29" t="str" cm="1">
        <f t="array" ref="E929">_xlfn.IFS(F929="","",G928&lt;F928,G928*calcs!$H$3,$D$8&lt;=0,$M$3-F929,$D$8&gt;0,$M$3-F929+$D$8,G928&lt;F928,G929*calcs!$H$3)</f>
        <v/>
      </c>
      <c r="F929" s="29" t="str" cm="1">
        <f t="array" ref="F929">_xlfn.IFS(F928="","",G928=0,"",G928&lt;1,"",G928&lt;F928,G928,AND(G928&gt;0,$D$8&gt;0),$D$8+($M$3-(G928*calcs!$H$3)),G928&gt;0,$M$3-(G928*calcs!$H$3))</f>
        <v/>
      </c>
      <c r="G929" s="29" t="str" cm="1">
        <f t="array" ref="G929">_xlfn.IFS(F929="","",G928-F929&lt;1,0,ISBLANK(F929)=TRUE,"",G928-F929&gt;1,G928-F929)</f>
        <v/>
      </c>
      <c r="H929" s="33" t="str">
        <f t="shared" si="15"/>
        <v/>
      </c>
      <c r="I929" s="2" t="str" cm="1">
        <f t="array" ref="I929">_xlfn.IFS(OR(D929="",E929="",F929=""),"",MOD(D929,12)&lt;&gt;0,"",MOD(D929,12)=0,"Year End"&amp;" "&amp;D929/12)</f>
        <v/>
      </c>
      <c r="V929">
        <v>918</v>
      </c>
    </row>
    <row r="930" spans="4:22">
      <c r="D930" s="30" t="str">
        <f>IF(V930&lt;=calcs!$F$4,'Loan Calculator'!V930,"")</f>
        <v/>
      </c>
      <c r="E930" s="27" t="str" cm="1">
        <f t="array" ref="E930">_xlfn.IFS(F930="","",G929&lt;F929,G929*calcs!$H$3,$D$8&lt;=0,$M$3-F930,$D$8&gt;0,$M$3-F930+$D$8,G929&lt;F929,G930*calcs!$H$3)</f>
        <v/>
      </c>
      <c r="F930" s="27" t="str" cm="1">
        <f t="array" ref="F930">_xlfn.IFS(F929="","",G929=0,"",G929&lt;1,"",G929&lt;F929,G929,AND(G929&gt;0,$D$8&gt;0),$D$8+($M$3-(G929*calcs!$H$3)),G929&gt;0,$M$3-(G929*calcs!$H$3))</f>
        <v/>
      </c>
      <c r="G930" s="27" t="str" cm="1">
        <f t="array" ref="G930">_xlfn.IFS(F930="","",G929-F930&lt;1,0,ISBLANK(F930)=TRUE,"",G929-F930&gt;1,G929-F930)</f>
        <v/>
      </c>
      <c r="H930" s="31" t="str">
        <f t="shared" si="15"/>
        <v/>
      </c>
      <c r="I930" s="2" t="str" cm="1">
        <f t="array" ref="I930">_xlfn.IFS(OR(D930="",E930="",F930=""),"",MOD(D930,12)&lt;&gt;0,"",MOD(D930,12)=0,"Year End"&amp;" "&amp;D930/12)</f>
        <v/>
      </c>
      <c r="V930">
        <v>919</v>
      </c>
    </row>
    <row r="931" spans="4:22">
      <c r="D931" s="32" t="str">
        <f>IF(V931&lt;=calcs!$F$4,'Loan Calculator'!V931,"")</f>
        <v/>
      </c>
      <c r="E931" s="29" t="str" cm="1">
        <f t="array" ref="E931">_xlfn.IFS(F931="","",G930&lt;F930,G930*calcs!$H$3,$D$8&lt;=0,$M$3-F931,$D$8&gt;0,$M$3-F931+$D$8,G930&lt;F930,G931*calcs!$H$3)</f>
        <v/>
      </c>
      <c r="F931" s="29" t="str" cm="1">
        <f t="array" ref="F931">_xlfn.IFS(F930="","",G930=0,"",G930&lt;1,"",G930&lt;F930,G930,AND(G930&gt;0,$D$8&gt;0),$D$8+($M$3-(G930*calcs!$H$3)),G930&gt;0,$M$3-(G930*calcs!$H$3))</f>
        <v/>
      </c>
      <c r="G931" s="29" t="str" cm="1">
        <f t="array" ref="G931">_xlfn.IFS(F931="","",G930-F931&lt;1,0,ISBLANK(F931)=TRUE,"",G930-F931&gt;1,G930-F931)</f>
        <v/>
      </c>
      <c r="H931" s="33" t="str">
        <f t="shared" si="15"/>
        <v/>
      </c>
      <c r="I931" s="2" t="str" cm="1">
        <f t="array" ref="I931">_xlfn.IFS(OR(D931="",E931="",F931=""),"",MOD(D931,12)&lt;&gt;0,"",MOD(D931,12)=0,"Year End"&amp;" "&amp;D931/12)</f>
        <v/>
      </c>
      <c r="V931">
        <v>920</v>
      </c>
    </row>
    <row r="932" spans="4:22">
      <c r="D932" s="30" t="str">
        <f>IF(V932&lt;=calcs!$F$4,'Loan Calculator'!V932,"")</f>
        <v/>
      </c>
      <c r="E932" s="27" t="str" cm="1">
        <f t="array" ref="E932">_xlfn.IFS(F932="","",G931&lt;F931,G931*calcs!$H$3,$D$8&lt;=0,$M$3-F932,$D$8&gt;0,$M$3-F932+$D$8,G931&lt;F931,G932*calcs!$H$3)</f>
        <v/>
      </c>
      <c r="F932" s="27" t="str" cm="1">
        <f t="array" ref="F932">_xlfn.IFS(F931="","",G931=0,"",G931&lt;1,"",G931&lt;F931,G931,AND(G931&gt;0,$D$8&gt;0),$D$8+($M$3-(G931*calcs!$H$3)),G931&gt;0,$M$3-(G931*calcs!$H$3))</f>
        <v/>
      </c>
      <c r="G932" s="27" t="str" cm="1">
        <f t="array" ref="G932">_xlfn.IFS(F932="","",G931-F932&lt;1,0,ISBLANK(F932)=TRUE,"",G931-F932&gt;1,G931-F932)</f>
        <v/>
      </c>
      <c r="H932" s="31" t="str">
        <f t="shared" si="15"/>
        <v/>
      </c>
      <c r="I932" s="2" t="str" cm="1">
        <f t="array" ref="I932">_xlfn.IFS(OR(D932="",E932="",F932=""),"",MOD(D932,12)&lt;&gt;0,"",MOD(D932,12)=0,"Year End"&amp;" "&amp;D932/12)</f>
        <v/>
      </c>
      <c r="V932">
        <v>921</v>
      </c>
    </row>
    <row r="933" spans="4:22">
      <c r="D933" s="32" t="str">
        <f>IF(V933&lt;=calcs!$F$4,'Loan Calculator'!V933,"")</f>
        <v/>
      </c>
      <c r="E933" s="29" t="str" cm="1">
        <f t="array" ref="E933">_xlfn.IFS(F933="","",G932&lt;F932,G932*calcs!$H$3,$D$8&lt;=0,$M$3-F933,$D$8&gt;0,$M$3-F933+$D$8,G932&lt;F932,G933*calcs!$H$3)</f>
        <v/>
      </c>
      <c r="F933" s="29" t="str" cm="1">
        <f t="array" ref="F933">_xlfn.IFS(F932="","",G932=0,"",G932&lt;1,"",G932&lt;F932,G932,AND(G932&gt;0,$D$8&gt;0),$D$8+($M$3-(G932*calcs!$H$3)),G932&gt;0,$M$3-(G932*calcs!$H$3))</f>
        <v/>
      </c>
      <c r="G933" s="29" t="str" cm="1">
        <f t="array" ref="G933">_xlfn.IFS(F933="","",G932-F933&lt;1,0,ISBLANK(F933)=TRUE,"",G932-F933&gt;1,G932-F933)</f>
        <v/>
      </c>
      <c r="H933" s="33" t="str">
        <f t="shared" si="15"/>
        <v/>
      </c>
      <c r="I933" s="2" t="str" cm="1">
        <f t="array" ref="I933">_xlfn.IFS(OR(D933="",E933="",F933=""),"",MOD(D933,12)&lt;&gt;0,"",MOD(D933,12)=0,"Year End"&amp;" "&amp;D933/12)</f>
        <v/>
      </c>
      <c r="V933">
        <v>922</v>
      </c>
    </row>
    <row r="934" spans="4:22">
      <c r="D934" s="30" t="str">
        <f>IF(V934&lt;=calcs!$F$4,'Loan Calculator'!V934,"")</f>
        <v/>
      </c>
      <c r="E934" s="27" t="str" cm="1">
        <f t="array" ref="E934">_xlfn.IFS(F934="","",G933&lt;F933,G933*calcs!$H$3,$D$8&lt;=0,$M$3-F934,$D$8&gt;0,$M$3-F934+$D$8,G933&lt;F933,G934*calcs!$H$3)</f>
        <v/>
      </c>
      <c r="F934" s="27" t="str" cm="1">
        <f t="array" ref="F934">_xlfn.IFS(F933="","",G933=0,"",G933&lt;1,"",G933&lt;F933,G933,AND(G933&gt;0,$D$8&gt;0),$D$8+($M$3-(G933*calcs!$H$3)),G933&gt;0,$M$3-(G933*calcs!$H$3))</f>
        <v/>
      </c>
      <c r="G934" s="27" t="str" cm="1">
        <f t="array" ref="G934">_xlfn.IFS(F934="","",G933-F934&lt;1,0,ISBLANK(F934)=TRUE,"",G933-F934&gt;1,G933-F934)</f>
        <v/>
      </c>
      <c r="H934" s="31" t="str">
        <f t="shared" si="15"/>
        <v/>
      </c>
      <c r="I934" s="2" t="str" cm="1">
        <f t="array" ref="I934">_xlfn.IFS(OR(D934="",E934="",F934=""),"",MOD(D934,12)&lt;&gt;0,"",MOD(D934,12)=0,"Year End"&amp;" "&amp;D934/12)</f>
        <v/>
      </c>
      <c r="V934">
        <v>923</v>
      </c>
    </row>
    <row r="935" spans="4:22">
      <c r="D935" s="32" t="str">
        <f>IF(V935&lt;=calcs!$F$4,'Loan Calculator'!V935,"")</f>
        <v/>
      </c>
      <c r="E935" s="29" t="str" cm="1">
        <f t="array" ref="E935">_xlfn.IFS(F935="","",G934&lt;F934,G934*calcs!$H$3,$D$8&lt;=0,$M$3-F935,$D$8&gt;0,$M$3-F935+$D$8,G934&lt;F934,G935*calcs!$H$3)</f>
        <v/>
      </c>
      <c r="F935" s="29" t="str" cm="1">
        <f t="array" ref="F935">_xlfn.IFS(F934="","",G934=0,"",G934&lt;1,"",G934&lt;F934,G934,AND(G934&gt;0,$D$8&gt;0),$D$8+($M$3-(G934*calcs!$H$3)),G934&gt;0,$M$3-(G934*calcs!$H$3))</f>
        <v/>
      </c>
      <c r="G935" s="29" t="str" cm="1">
        <f t="array" ref="G935">_xlfn.IFS(F935="","",G934-F935&lt;1,0,ISBLANK(F935)=TRUE,"",G934-F935&gt;1,G934-F935)</f>
        <v/>
      </c>
      <c r="H935" s="33" t="str">
        <f t="shared" si="15"/>
        <v/>
      </c>
      <c r="I935" s="2" t="str" cm="1">
        <f t="array" ref="I935">_xlfn.IFS(OR(D935="",E935="",F935=""),"",MOD(D935,12)&lt;&gt;0,"",MOD(D935,12)=0,"Year End"&amp;" "&amp;D935/12)</f>
        <v/>
      </c>
      <c r="V935">
        <v>924</v>
      </c>
    </row>
    <row r="936" spans="4:22">
      <c r="D936" s="30" t="str">
        <f>IF(V936&lt;=calcs!$F$4,'Loan Calculator'!V936,"")</f>
        <v/>
      </c>
      <c r="E936" s="27" t="str" cm="1">
        <f t="array" ref="E936">_xlfn.IFS(F936="","",G935&lt;F935,G935*calcs!$H$3,$D$8&lt;=0,$M$3-F936,$D$8&gt;0,$M$3-F936+$D$8,G935&lt;F935,G936*calcs!$H$3)</f>
        <v/>
      </c>
      <c r="F936" s="27" t="str" cm="1">
        <f t="array" ref="F936">_xlfn.IFS(F935="","",G935=0,"",G935&lt;1,"",G935&lt;F935,G935,AND(G935&gt;0,$D$8&gt;0),$D$8+($M$3-(G935*calcs!$H$3)),G935&gt;0,$M$3-(G935*calcs!$H$3))</f>
        <v/>
      </c>
      <c r="G936" s="27" t="str" cm="1">
        <f t="array" ref="G936">_xlfn.IFS(F936="","",G935-F936&lt;1,0,ISBLANK(F936)=TRUE,"",G935-F936&gt;1,G935-F936)</f>
        <v/>
      </c>
      <c r="H936" s="31" t="str">
        <f t="shared" si="15"/>
        <v/>
      </c>
      <c r="I936" s="2" t="str" cm="1">
        <f t="array" ref="I936">_xlfn.IFS(OR(D936="",E936="",F936=""),"",MOD(D936,12)&lt;&gt;0,"",MOD(D936,12)=0,"Year End"&amp;" "&amp;D936/12)</f>
        <v/>
      </c>
      <c r="V936">
        <v>925</v>
      </c>
    </row>
    <row r="937" spans="4:22">
      <c r="D937" s="32" t="str">
        <f>IF(V937&lt;=calcs!$F$4,'Loan Calculator'!V937,"")</f>
        <v/>
      </c>
      <c r="E937" s="29" t="str" cm="1">
        <f t="array" ref="E937">_xlfn.IFS(F937="","",G936&lt;F936,G936*calcs!$H$3,$D$8&lt;=0,$M$3-F937,$D$8&gt;0,$M$3-F937+$D$8,G936&lt;F936,G937*calcs!$H$3)</f>
        <v/>
      </c>
      <c r="F937" s="29" t="str" cm="1">
        <f t="array" ref="F937">_xlfn.IFS(F936="","",G936=0,"",G936&lt;1,"",G936&lt;F936,G936,AND(G936&gt;0,$D$8&gt;0),$D$8+($M$3-(G936*calcs!$H$3)),G936&gt;0,$M$3-(G936*calcs!$H$3))</f>
        <v/>
      </c>
      <c r="G937" s="29" t="str" cm="1">
        <f t="array" ref="G937">_xlfn.IFS(F937="","",G936-F937&lt;1,0,ISBLANK(F937)=TRUE,"",G936-F937&gt;1,G936-F937)</f>
        <v/>
      </c>
      <c r="H937" s="33" t="str">
        <f t="shared" si="15"/>
        <v/>
      </c>
      <c r="I937" s="2" t="str" cm="1">
        <f t="array" ref="I937">_xlfn.IFS(OR(D937="",E937="",F937=""),"",MOD(D937,12)&lt;&gt;0,"",MOD(D937,12)=0,"Year End"&amp;" "&amp;D937/12)</f>
        <v/>
      </c>
      <c r="V937">
        <v>926</v>
      </c>
    </row>
    <row r="938" spans="4:22">
      <c r="D938" s="30" t="str">
        <f>IF(V938&lt;=calcs!$F$4,'Loan Calculator'!V938,"")</f>
        <v/>
      </c>
      <c r="E938" s="27" t="str" cm="1">
        <f t="array" ref="E938">_xlfn.IFS(F938="","",G937&lt;F937,G937*calcs!$H$3,$D$8&lt;=0,$M$3-F938,$D$8&gt;0,$M$3-F938+$D$8,G937&lt;F937,G938*calcs!$H$3)</f>
        <v/>
      </c>
      <c r="F938" s="27" t="str" cm="1">
        <f t="array" ref="F938">_xlfn.IFS(F937="","",G937=0,"",G937&lt;1,"",G937&lt;F937,G937,AND(G937&gt;0,$D$8&gt;0),$D$8+($M$3-(G937*calcs!$H$3)),G937&gt;0,$M$3-(G937*calcs!$H$3))</f>
        <v/>
      </c>
      <c r="G938" s="27" t="str" cm="1">
        <f t="array" ref="G938">_xlfn.IFS(F938="","",G937-F938&lt;1,0,ISBLANK(F938)=TRUE,"",G937-F938&gt;1,G937-F938)</f>
        <v/>
      </c>
      <c r="H938" s="31" t="str">
        <f t="shared" si="15"/>
        <v/>
      </c>
      <c r="I938" s="2" t="str" cm="1">
        <f t="array" ref="I938">_xlfn.IFS(OR(D938="",E938="",F938=""),"",MOD(D938,12)&lt;&gt;0,"",MOD(D938,12)=0,"Year End"&amp;" "&amp;D938/12)</f>
        <v/>
      </c>
      <c r="V938">
        <v>927</v>
      </c>
    </row>
    <row r="939" spans="4:22">
      <c r="D939" s="32" t="str">
        <f>IF(V939&lt;=calcs!$F$4,'Loan Calculator'!V939,"")</f>
        <v/>
      </c>
      <c r="E939" s="29" t="str" cm="1">
        <f t="array" ref="E939">_xlfn.IFS(F939="","",G938&lt;F938,G938*calcs!$H$3,$D$8&lt;=0,$M$3-F939,$D$8&gt;0,$M$3-F939+$D$8,G938&lt;F938,G939*calcs!$H$3)</f>
        <v/>
      </c>
      <c r="F939" s="29" t="str" cm="1">
        <f t="array" ref="F939">_xlfn.IFS(F938="","",G938=0,"",G938&lt;1,"",G938&lt;F938,G938,AND(G938&gt;0,$D$8&gt;0),$D$8+($M$3-(G938*calcs!$H$3)),G938&gt;0,$M$3-(G938*calcs!$H$3))</f>
        <v/>
      </c>
      <c r="G939" s="29" t="str" cm="1">
        <f t="array" ref="G939">_xlfn.IFS(F939="","",G938-F939&lt;1,0,ISBLANK(F939)=TRUE,"",G938-F939&gt;1,G938-F939)</f>
        <v/>
      </c>
      <c r="H939" s="33" t="str">
        <f t="shared" si="15"/>
        <v/>
      </c>
      <c r="I939" s="2" t="str" cm="1">
        <f t="array" ref="I939">_xlfn.IFS(OR(D939="",E939="",F939=""),"",MOD(D939,12)&lt;&gt;0,"",MOD(D939,12)=0,"Year End"&amp;" "&amp;D939/12)</f>
        <v/>
      </c>
      <c r="V939">
        <v>928</v>
      </c>
    </row>
    <row r="940" spans="4:22">
      <c r="D940" s="30" t="str">
        <f>IF(V940&lt;=calcs!$F$4,'Loan Calculator'!V940,"")</f>
        <v/>
      </c>
      <c r="E940" s="27" t="str" cm="1">
        <f t="array" ref="E940">_xlfn.IFS(F940="","",G939&lt;F939,G939*calcs!$H$3,$D$8&lt;=0,$M$3-F940,$D$8&gt;0,$M$3-F940+$D$8,G939&lt;F939,G940*calcs!$H$3)</f>
        <v/>
      </c>
      <c r="F940" s="27" t="str" cm="1">
        <f t="array" ref="F940">_xlfn.IFS(F939="","",G939=0,"",G939&lt;1,"",G939&lt;F939,G939,AND(G939&gt;0,$D$8&gt;0),$D$8+($M$3-(G939*calcs!$H$3)),G939&gt;0,$M$3-(G939*calcs!$H$3))</f>
        <v/>
      </c>
      <c r="G940" s="27" t="str" cm="1">
        <f t="array" ref="G940">_xlfn.IFS(F940="","",G939-F940&lt;1,0,ISBLANK(F940)=TRUE,"",G939-F940&gt;1,G939-F940)</f>
        <v/>
      </c>
      <c r="H940" s="31" t="str">
        <f t="shared" si="15"/>
        <v/>
      </c>
      <c r="I940" s="2" t="str" cm="1">
        <f t="array" ref="I940">_xlfn.IFS(OR(D940="",E940="",F940=""),"",MOD(D940,12)&lt;&gt;0,"",MOD(D940,12)=0,"Year End"&amp;" "&amp;D940/12)</f>
        <v/>
      </c>
      <c r="V940">
        <v>929</v>
      </c>
    </row>
    <row r="941" spans="4:22">
      <c r="D941" s="32" t="str">
        <f>IF(V941&lt;=calcs!$F$4,'Loan Calculator'!V941,"")</f>
        <v/>
      </c>
      <c r="E941" s="29" t="str" cm="1">
        <f t="array" ref="E941">_xlfn.IFS(F941="","",G940&lt;F940,G940*calcs!$H$3,$D$8&lt;=0,$M$3-F941,$D$8&gt;0,$M$3-F941+$D$8,G940&lt;F940,G941*calcs!$H$3)</f>
        <v/>
      </c>
      <c r="F941" s="29" t="str" cm="1">
        <f t="array" ref="F941">_xlfn.IFS(F940="","",G940=0,"",G940&lt;1,"",G940&lt;F940,G940,AND(G940&gt;0,$D$8&gt;0),$D$8+($M$3-(G940*calcs!$H$3)),G940&gt;0,$M$3-(G940*calcs!$H$3))</f>
        <v/>
      </c>
      <c r="G941" s="29" t="str" cm="1">
        <f t="array" ref="G941">_xlfn.IFS(F941="","",G940-F941&lt;1,0,ISBLANK(F941)=TRUE,"",G940-F941&gt;1,G940-F941)</f>
        <v/>
      </c>
      <c r="H941" s="33" t="str">
        <f t="shared" si="15"/>
        <v/>
      </c>
      <c r="I941" s="2" t="str" cm="1">
        <f t="array" ref="I941">_xlfn.IFS(OR(D941="",E941="",F941=""),"",MOD(D941,12)&lt;&gt;0,"",MOD(D941,12)=0,"Year End"&amp;" "&amp;D941/12)</f>
        <v/>
      </c>
      <c r="V941">
        <v>930</v>
      </c>
    </row>
    <row r="942" spans="4:22">
      <c r="D942" s="30" t="str">
        <f>IF(V942&lt;=calcs!$F$4,'Loan Calculator'!V942,"")</f>
        <v/>
      </c>
      <c r="E942" s="27" t="str" cm="1">
        <f t="array" ref="E942">_xlfn.IFS(F942="","",G941&lt;F941,G941*calcs!$H$3,$D$8&lt;=0,$M$3-F942,$D$8&gt;0,$M$3-F942+$D$8,G941&lt;F941,G942*calcs!$H$3)</f>
        <v/>
      </c>
      <c r="F942" s="27" t="str" cm="1">
        <f t="array" ref="F942">_xlfn.IFS(F941="","",G941=0,"",G941&lt;1,"",G941&lt;F941,G941,AND(G941&gt;0,$D$8&gt;0),$D$8+($M$3-(G941*calcs!$H$3)),G941&gt;0,$M$3-(G941*calcs!$H$3))</f>
        <v/>
      </c>
      <c r="G942" s="27" t="str" cm="1">
        <f t="array" ref="G942">_xlfn.IFS(F942="","",G941-F942&lt;1,0,ISBLANK(F942)=TRUE,"",G941-F942&gt;1,G941-F942)</f>
        <v/>
      </c>
      <c r="H942" s="31" t="str">
        <f t="shared" si="15"/>
        <v/>
      </c>
      <c r="I942" s="2" t="str" cm="1">
        <f t="array" ref="I942">_xlfn.IFS(OR(D942="",E942="",F942=""),"",MOD(D942,12)&lt;&gt;0,"",MOD(D942,12)=0,"Year End"&amp;" "&amp;D942/12)</f>
        <v/>
      </c>
      <c r="V942">
        <v>931</v>
      </c>
    </row>
    <row r="943" spans="4:22">
      <c r="D943" s="32" t="str">
        <f>IF(V943&lt;=calcs!$F$4,'Loan Calculator'!V943,"")</f>
        <v/>
      </c>
      <c r="E943" s="29" t="str" cm="1">
        <f t="array" ref="E943">_xlfn.IFS(F943="","",G942&lt;F942,G942*calcs!$H$3,$D$8&lt;=0,$M$3-F943,$D$8&gt;0,$M$3-F943+$D$8,G942&lt;F942,G943*calcs!$H$3)</f>
        <v/>
      </c>
      <c r="F943" s="29" t="str" cm="1">
        <f t="array" ref="F943">_xlfn.IFS(F942="","",G942=0,"",G942&lt;1,"",G942&lt;F942,G942,AND(G942&gt;0,$D$8&gt;0),$D$8+($M$3-(G942*calcs!$H$3)),G942&gt;0,$M$3-(G942*calcs!$H$3))</f>
        <v/>
      </c>
      <c r="G943" s="29" t="str" cm="1">
        <f t="array" ref="G943">_xlfn.IFS(F943="","",G942-F943&lt;1,0,ISBLANK(F943)=TRUE,"",G942-F943&gt;1,G942-F943)</f>
        <v/>
      </c>
      <c r="H943" s="33" t="str">
        <f t="shared" si="15"/>
        <v/>
      </c>
      <c r="I943" s="2" t="str" cm="1">
        <f t="array" ref="I943">_xlfn.IFS(OR(D943="",E943="",F943=""),"",MOD(D943,12)&lt;&gt;0,"",MOD(D943,12)=0,"Year End"&amp;" "&amp;D943/12)</f>
        <v/>
      </c>
      <c r="V943">
        <v>932</v>
      </c>
    </row>
    <row r="944" spans="4:22">
      <c r="D944" s="30" t="str">
        <f>IF(V944&lt;=calcs!$F$4,'Loan Calculator'!V944,"")</f>
        <v/>
      </c>
      <c r="E944" s="27" t="str" cm="1">
        <f t="array" ref="E944">_xlfn.IFS(F944="","",G943&lt;F943,G943*calcs!$H$3,$D$8&lt;=0,$M$3-F944,$D$8&gt;0,$M$3-F944+$D$8,G943&lt;F943,G944*calcs!$H$3)</f>
        <v/>
      </c>
      <c r="F944" s="27" t="str" cm="1">
        <f t="array" ref="F944">_xlfn.IFS(F943="","",G943=0,"",G943&lt;1,"",G943&lt;F943,G943,AND(G943&gt;0,$D$8&gt;0),$D$8+($M$3-(G943*calcs!$H$3)),G943&gt;0,$M$3-(G943*calcs!$H$3))</f>
        <v/>
      </c>
      <c r="G944" s="27" t="str" cm="1">
        <f t="array" ref="G944">_xlfn.IFS(F944="","",G943-F944&lt;1,0,ISBLANK(F944)=TRUE,"",G943-F944&gt;1,G943-F944)</f>
        <v/>
      </c>
      <c r="H944" s="31" t="str">
        <f t="shared" si="15"/>
        <v/>
      </c>
      <c r="I944" s="2" t="str" cm="1">
        <f t="array" ref="I944">_xlfn.IFS(OR(D944="",E944="",F944=""),"",MOD(D944,12)&lt;&gt;0,"",MOD(D944,12)=0,"Year End"&amp;" "&amp;D944/12)</f>
        <v/>
      </c>
      <c r="V944">
        <v>933</v>
      </c>
    </row>
    <row r="945" spans="4:22">
      <c r="D945" s="32" t="str">
        <f>IF(V945&lt;=calcs!$F$4,'Loan Calculator'!V945,"")</f>
        <v/>
      </c>
      <c r="E945" s="29" t="str" cm="1">
        <f t="array" ref="E945">_xlfn.IFS(F945="","",G944&lt;F944,G944*calcs!$H$3,$D$8&lt;=0,$M$3-F945,$D$8&gt;0,$M$3-F945+$D$8,G944&lt;F944,G945*calcs!$H$3)</f>
        <v/>
      </c>
      <c r="F945" s="29" t="str" cm="1">
        <f t="array" ref="F945">_xlfn.IFS(F944="","",G944=0,"",G944&lt;1,"",G944&lt;F944,G944,AND(G944&gt;0,$D$8&gt;0),$D$8+($M$3-(G944*calcs!$H$3)),G944&gt;0,$M$3-(G944*calcs!$H$3))</f>
        <v/>
      </c>
      <c r="G945" s="29" t="str" cm="1">
        <f t="array" ref="G945">_xlfn.IFS(F945="","",G944-F945&lt;1,0,ISBLANK(F945)=TRUE,"",G944-F945&gt;1,G944-F945)</f>
        <v/>
      </c>
      <c r="H945" s="33" t="str">
        <f t="shared" si="15"/>
        <v/>
      </c>
      <c r="I945" s="2" t="str" cm="1">
        <f t="array" ref="I945">_xlfn.IFS(OR(D945="",E945="",F945=""),"",MOD(D945,12)&lt;&gt;0,"",MOD(D945,12)=0,"Year End"&amp;" "&amp;D945/12)</f>
        <v/>
      </c>
      <c r="V945">
        <v>934</v>
      </c>
    </row>
    <row r="946" spans="4:22">
      <c r="D946" s="30" t="str">
        <f>IF(V946&lt;=calcs!$F$4,'Loan Calculator'!V946,"")</f>
        <v/>
      </c>
      <c r="E946" s="27" t="str" cm="1">
        <f t="array" ref="E946">_xlfn.IFS(F946="","",G945&lt;F945,G945*calcs!$H$3,$D$8&lt;=0,$M$3-F946,$D$8&gt;0,$M$3-F946+$D$8,G945&lt;F945,G946*calcs!$H$3)</f>
        <v/>
      </c>
      <c r="F946" s="27" t="str" cm="1">
        <f t="array" ref="F946">_xlfn.IFS(F945="","",G945=0,"",G945&lt;1,"",G945&lt;F945,G945,AND(G945&gt;0,$D$8&gt;0),$D$8+($M$3-(G945*calcs!$H$3)),G945&gt;0,$M$3-(G945*calcs!$H$3))</f>
        <v/>
      </c>
      <c r="G946" s="27" t="str" cm="1">
        <f t="array" ref="G946">_xlfn.IFS(F946="","",G945-F946&lt;1,0,ISBLANK(F946)=TRUE,"",G945-F946&gt;1,G945-F946)</f>
        <v/>
      </c>
      <c r="H946" s="31" t="str">
        <f t="shared" si="15"/>
        <v/>
      </c>
      <c r="I946" s="2" t="str" cm="1">
        <f t="array" ref="I946">_xlfn.IFS(OR(D946="",E946="",F946=""),"",MOD(D946,12)&lt;&gt;0,"",MOD(D946,12)=0,"Year End"&amp;" "&amp;D946/12)</f>
        <v/>
      </c>
      <c r="V946">
        <v>935</v>
      </c>
    </row>
    <row r="947" spans="4:22">
      <c r="D947" s="32" t="str">
        <f>IF(V947&lt;=calcs!$F$4,'Loan Calculator'!V947,"")</f>
        <v/>
      </c>
      <c r="E947" s="29" t="str" cm="1">
        <f t="array" ref="E947">_xlfn.IFS(F947="","",G946&lt;F946,G946*calcs!$H$3,$D$8&lt;=0,$M$3-F947,$D$8&gt;0,$M$3-F947+$D$8,G946&lt;F946,G947*calcs!$H$3)</f>
        <v/>
      </c>
      <c r="F947" s="29" t="str" cm="1">
        <f t="array" ref="F947">_xlfn.IFS(F946="","",G946=0,"",G946&lt;1,"",G946&lt;F946,G946,AND(G946&gt;0,$D$8&gt;0),$D$8+($M$3-(G946*calcs!$H$3)),G946&gt;0,$M$3-(G946*calcs!$H$3))</f>
        <v/>
      </c>
      <c r="G947" s="29" t="str" cm="1">
        <f t="array" ref="G947">_xlfn.IFS(F947="","",G946-F947&lt;1,0,ISBLANK(F947)=TRUE,"",G946-F947&gt;1,G946-F947)</f>
        <v/>
      </c>
      <c r="H947" s="33" t="str">
        <f t="shared" si="15"/>
        <v/>
      </c>
      <c r="I947" s="2" t="str" cm="1">
        <f t="array" ref="I947">_xlfn.IFS(OR(D947="",E947="",F947=""),"",MOD(D947,12)&lt;&gt;0,"",MOD(D947,12)=0,"Year End"&amp;" "&amp;D947/12)</f>
        <v/>
      </c>
      <c r="V947">
        <v>936</v>
      </c>
    </row>
    <row r="948" spans="4:22">
      <c r="D948" s="30" t="str">
        <f>IF(V948&lt;=calcs!$F$4,'Loan Calculator'!V948,"")</f>
        <v/>
      </c>
      <c r="E948" s="27" t="str" cm="1">
        <f t="array" ref="E948">_xlfn.IFS(F948="","",G947&lt;F947,G947*calcs!$H$3,$D$8&lt;=0,$M$3-F948,$D$8&gt;0,$M$3-F948+$D$8,G947&lt;F947,G948*calcs!$H$3)</f>
        <v/>
      </c>
      <c r="F948" s="27" t="str" cm="1">
        <f t="array" ref="F948">_xlfn.IFS(F947="","",G947=0,"",G947&lt;1,"",G947&lt;F947,G947,AND(G947&gt;0,$D$8&gt;0),$D$8+($M$3-(G947*calcs!$H$3)),G947&gt;0,$M$3-(G947*calcs!$H$3))</f>
        <v/>
      </c>
      <c r="G948" s="27" t="str" cm="1">
        <f t="array" ref="G948">_xlfn.IFS(F948="","",G947-F948&lt;1,0,ISBLANK(F948)=TRUE,"",G947-F948&gt;1,G947-F948)</f>
        <v/>
      </c>
      <c r="H948" s="31" t="str">
        <f t="shared" si="15"/>
        <v/>
      </c>
      <c r="I948" s="2" t="str" cm="1">
        <f t="array" ref="I948">_xlfn.IFS(OR(D948="",E948="",F948=""),"",MOD(D948,12)&lt;&gt;0,"",MOD(D948,12)=0,"Year End"&amp;" "&amp;D948/12)</f>
        <v/>
      </c>
      <c r="V948">
        <v>937</v>
      </c>
    </row>
    <row r="949" spans="4:22">
      <c r="D949" s="32" t="str">
        <f>IF(V949&lt;=calcs!$F$4,'Loan Calculator'!V949,"")</f>
        <v/>
      </c>
      <c r="E949" s="29" t="str" cm="1">
        <f t="array" ref="E949">_xlfn.IFS(F949="","",G948&lt;F948,G948*calcs!$H$3,$D$8&lt;=0,$M$3-F949,$D$8&gt;0,$M$3-F949+$D$8,G948&lt;F948,G949*calcs!$H$3)</f>
        <v/>
      </c>
      <c r="F949" s="29" t="str" cm="1">
        <f t="array" ref="F949">_xlfn.IFS(F948="","",G948=0,"",G948&lt;1,"",G948&lt;F948,G948,AND(G948&gt;0,$D$8&gt;0),$D$8+($M$3-(G948*calcs!$H$3)),G948&gt;0,$M$3-(G948*calcs!$H$3))</f>
        <v/>
      </c>
      <c r="G949" s="29" t="str" cm="1">
        <f t="array" ref="G949">_xlfn.IFS(F949="","",G948-F949&lt;1,0,ISBLANK(F949)=TRUE,"",G948-F949&gt;1,G948-F949)</f>
        <v/>
      </c>
      <c r="H949" s="33" t="str">
        <f t="shared" si="15"/>
        <v/>
      </c>
      <c r="I949" s="2" t="str" cm="1">
        <f t="array" ref="I949">_xlfn.IFS(OR(D949="",E949="",F949=""),"",MOD(D949,12)&lt;&gt;0,"",MOD(D949,12)=0,"Year End"&amp;" "&amp;D949/12)</f>
        <v/>
      </c>
      <c r="V949">
        <v>938</v>
      </c>
    </row>
    <row r="950" spans="4:22">
      <c r="D950" s="30" t="str">
        <f>IF(V950&lt;=calcs!$F$4,'Loan Calculator'!V950,"")</f>
        <v/>
      </c>
      <c r="E950" s="27" t="str" cm="1">
        <f t="array" ref="E950">_xlfn.IFS(F950="","",G949&lt;F949,G949*calcs!$H$3,$D$8&lt;=0,$M$3-F950,$D$8&gt;0,$M$3-F950+$D$8,G949&lt;F949,G950*calcs!$H$3)</f>
        <v/>
      </c>
      <c r="F950" s="27" t="str" cm="1">
        <f t="array" ref="F950">_xlfn.IFS(F949="","",G949=0,"",G949&lt;1,"",G949&lt;F949,G949,AND(G949&gt;0,$D$8&gt;0),$D$8+($M$3-(G949*calcs!$H$3)),G949&gt;0,$M$3-(G949*calcs!$H$3))</f>
        <v/>
      </c>
      <c r="G950" s="27" t="str" cm="1">
        <f t="array" ref="G950">_xlfn.IFS(F950="","",G949-F950&lt;1,0,ISBLANK(F950)=TRUE,"",G949-F950&gt;1,G949-F950)</f>
        <v/>
      </c>
      <c r="H950" s="31" t="str">
        <f t="shared" si="15"/>
        <v/>
      </c>
      <c r="I950" s="2" t="str" cm="1">
        <f t="array" ref="I950">_xlfn.IFS(OR(D950="",E950="",F950=""),"",MOD(D950,12)&lt;&gt;0,"",MOD(D950,12)=0,"Year End"&amp;" "&amp;D950/12)</f>
        <v/>
      </c>
      <c r="V950">
        <v>939</v>
      </c>
    </row>
    <row r="951" spans="4:22">
      <c r="D951" s="32" t="str">
        <f>IF(V951&lt;=calcs!$F$4,'Loan Calculator'!V951,"")</f>
        <v/>
      </c>
      <c r="E951" s="29" t="str" cm="1">
        <f t="array" ref="E951">_xlfn.IFS(F951="","",G950&lt;F950,G950*calcs!$H$3,$D$8&lt;=0,$M$3-F951,$D$8&gt;0,$M$3-F951+$D$8,G950&lt;F950,G951*calcs!$H$3)</f>
        <v/>
      </c>
      <c r="F951" s="29" t="str" cm="1">
        <f t="array" ref="F951">_xlfn.IFS(F950="","",G950=0,"",G950&lt;1,"",G950&lt;F950,G950,AND(G950&gt;0,$D$8&gt;0),$D$8+($M$3-(G950*calcs!$H$3)),G950&gt;0,$M$3-(G950*calcs!$H$3))</f>
        <v/>
      </c>
      <c r="G951" s="29" t="str" cm="1">
        <f t="array" ref="G951">_xlfn.IFS(F951="","",G950-F951&lt;1,0,ISBLANK(F951)=TRUE,"",G950-F951&gt;1,G950-F951)</f>
        <v/>
      </c>
      <c r="H951" s="33" t="str">
        <f t="shared" si="15"/>
        <v/>
      </c>
      <c r="I951" s="2" t="str" cm="1">
        <f t="array" ref="I951">_xlfn.IFS(OR(D951="",E951="",F951=""),"",MOD(D951,12)&lt;&gt;0,"",MOD(D951,12)=0,"Year End"&amp;" "&amp;D951/12)</f>
        <v/>
      </c>
      <c r="V951">
        <v>940</v>
      </c>
    </row>
    <row r="952" spans="4:22">
      <c r="D952" s="30" t="str">
        <f>IF(V952&lt;=calcs!$F$4,'Loan Calculator'!V952,"")</f>
        <v/>
      </c>
      <c r="E952" s="27" t="str" cm="1">
        <f t="array" ref="E952">_xlfn.IFS(F952="","",G951&lt;F951,G951*calcs!$H$3,$D$8&lt;=0,$M$3-F952,$D$8&gt;0,$M$3-F952+$D$8,G951&lt;F951,G952*calcs!$H$3)</f>
        <v/>
      </c>
      <c r="F952" s="27" t="str" cm="1">
        <f t="array" ref="F952">_xlfn.IFS(F951="","",G951=0,"",G951&lt;1,"",G951&lt;F951,G951,AND(G951&gt;0,$D$8&gt;0),$D$8+($M$3-(G951*calcs!$H$3)),G951&gt;0,$M$3-(G951*calcs!$H$3))</f>
        <v/>
      </c>
      <c r="G952" s="27" t="str" cm="1">
        <f t="array" ref="G952">_xlfn.IFS(F952="","",G951-F952&lt;1,0,ISBLANK(F952)=TRUE,"",G951-F952&gt;1,G951-F952)</f>
        <v/>
      </c>
      <c r="H952" s="31" t="str">
        <f t="shared" si="15"/>
        <v/>
      </c>
      <c r="I952" s="2" t="str" cm="1">
        <f t="array" ref="I952">_xlfn.IFS(OR(D952="",E952="",F952=""),"",MOD(D952,12)&lt;&gt;0,"",MOD(D952,12)=0,"Year End"&amp;" "&amp;D952/12)</f>
        <v/>
      </c>
      <c r="V952">
        <v>941</v>
      </c>
    </row>
    <row r="953" spans="4:22">
      <c r="D953" s="32" t="str">
        <f>IF(V953&lt;=calcs!$F$4,'Loan Calculator'!V953,"")</f>
        <v/>
      </c>
      <c r="E953" s="29" t="str" cm="1">
        <f t="array" ref="E953">_xlfn.IFS(F953="","",G952&lt;F952,G952*calcs!$H$3,$D$8&lt;=0,$M$3-F953,$D$8&gt;0,$M$3-F953+$D$8,G952&lt;F952,G953*calcs!$H$3)</f>
        <v/>
      </c>
      <c r="F953" s="29" t="str" cm="1">
        <f t="array" ref="F953">_xlfn.IFS(F952="","",G952=0,"",G952&lt;1,"",G952&lt;F952,G952,AND(G952&gt;0,$D$8&gt;0),$D$8+($M$3-(G952*calcs!$H$3)),G952&gt;0,$M$3-(G952*calcs!$H$3))</f>
        <v/>
      </c>
      <c r="G953" s="29" t="str" cm="1">
        <f t="array" ref="G953">_xlfn.IFS(F953="","",G952-F953&lt;1,0,ISBLANK(F953)=TRUE,"",G952-F953&gt;1,G952-F953)</f>
        <v/>
      </c>
      <c r="H953" s="33" t="str">
        <f t="shared" si="15"/>
        <v/>
      </c>
      <c r="I953" s="2" t="str" cm="1">
        <f t="array" ref="I953">_xlfn.IFS(OR(D953="",E953="",F953=""),"",MOD(D953,12)&lt;&gt;0,"",MOD(D953,12)=0,"Year End"&amp;" "&amp;D953/12)</f>
        <v/>
      </c>
      <c r="V953">
        <v>942</v>
      </c>
    </row>
    <row r="954" spans="4:22">
      <c r="D954" s="30" t="str">
        <f>IF(V954&lt;=calcs!$F$4,'Loan Calculator'!V954,"")</f>
        <v/>
      </c>
      <c r="E954" s="27" t="str" cm="1">
        <f t="array" ref="E954">_xlfn.IFS(F954="","",G953&lt;F953,G953*calcs!$H$3,$D$8&lt;=0,$M$3-F954,$D$8&gt;0,$M$3-F954+$D$8,G953&lt;F953,G954*calcs!$H$3)</f>
        <v/>
      </c>
      <c r="F954" s="27" t="str" cm="1">
        <f t="array" ref="F954">_xlfn.IFS(F953="","",G953=0,"",G953&lt;1,"",G953&lt;F953,G953,AND(G953&gt;0,$D$8&gt;0),$D$8+($M$3-(G953*calcs!$H$3)),G953&gt;0,$M$3-(G953*calcs!$H$3))</f>
        <v/>
      </c>
      <c r="G954" s="27" t="str" cm="1">
        <f t="array" ref="G954">_xlfn.IFS(F954="","",G953-F954&lt;1,0,ISBLANK(F954)=TRUE,"",G953-F954&gt;1,G953-F954)</f>
        <v/>
      </c>
      <c r="H954" s="31" t="str">
        <f t="shared" si="15"/>
        <v/>
      </c>
      <c r="I954" s="2" t="str" cm="1">
        <f t="array" ref="I954">_xlfn.IFS(OR(D954="",E954="",F954=""),"",MOD(D954,12)&lt;&gt;0,"",MOD(D954,12)=0,"Year End"&amp;" "&amp;D954/12)</f>
        <v/>
      </c>
      <c r="V954">
        <v>943</v>
      </c>
    </row>
    <row r="955" spans="4:22">
      <c r="D955" s="32" t="str">
        <f>IF(V955&lt;=calcs!$F$4,'Loan Calculator'!V955,"")</f>
        <v/>
      </c>
      <c r="E955" s="29" t="str" cm="1">
        <f t="array" ref="E955">_xlfn.IFS(F955="","",G954&lt;F954,G954*calcs!$H$3,$D$8&lt;=0,$M$3-F955,$D$8&gt;0,$M$3-F955+$D$8,G954&lt;F954,G955*calcs!$H$3)</f>
        <v/>
      </c>
      <c r="F955" s="29" t="str" cm="1">
        <f t="array" ref="F955">_xlfn.IFS(F954="","",G954=0,"",G954&lt;1,"",G954&lt;F954,G954,AND(G954&gt;0,$D$8&gt;0),$D$8+($M$3-(G954*calcs!$H$3)),G954&gt;0,$M$3-(G954*calcs!$H$3))</f>
        <v/>
      </c>
      <c r="G955" s="29" t="str" cm="1">
        <f t="array" ref="G955">_xlfn.IFS(F955="","",G954-F955&lt;1,0,ISBLANK(F955)=TRUE,"",G954-F955&gt;1,G954-F955)</f>
        <v/>
      </c>
      <c r="H955" s="33" t="str">
        <f t="shared" si="15"/>
        <v/>
      </c>
      <c r="I955" s="2" t="str" cm="1">
        <f t="array" ref="I955">_xlfn.IFS(OR(D955="",E955="",F955=""),"",MOD(D955,12)&lt;&gt;0,"",MOD(D955,12)=0,"Year End"&amp;" "&amp;D955/12)</f>
        <v/>
      </c>
      <c r="V955">
        <v>944</v>
      </c>
    </row>
    <row r="956" spans="4:22">
      <c r="D956" s="30" t="str">
        <f>IF(V956&lt;=calcs!$F$4,'Loan Calculator'!V956,"")</f>
        <v/>
      </c>
      <c r="E956" s="27" t="str" cm="1">
        <f t="array" ref="E956">_xlfn.IFS(F956="","",G955&lt;F955,G955*calcs!$H$3,$D$8&lt;=0,$M$3-F956,$D$8&gt;0,$M$3-F956+$D$8,G955&lt;F955,G956*calcs!$H$3)</f>
        <v/>
      </c>
      <c r="F956" s="27" t="str" cm="1">
        <f t="array" ref="F956">_xlfn.IFS(F955="","",G955=0,"",G955&lt;1,"",G955&lt;F955,G955,AND(G955&gt;0,$D$8&gt;0),$D$8+($M$3-(G955*calcs!$H$3)),G955&gt;0,$M$3-(G955*calcs!$H$3))</f>
        <v/>
      </c>
      <c r="G956" s="27" t="str" cm="1">
        <f t="array" ref="G956">_xlfn.IFS(F956="","",G955-F956&lt;1,0,ISBLANK(F956)=TRUE,"",G955-F956&gt;1,G955-F956)</f>
        <v/>
      </c>
      <c r="H956" s="31" t="str">
        <f t="shared" si="15"/>
        <v/>
      </c>
      <c r="I956" s="2" t="str" cm="1">
        <f t="array" ref="I956">_xlfn.IFS(OR(D956="",E956="",F956=""),"",MOD(D956,12)&lt;&gt;0,"",MOD(D956,12)=0,"Year End"&amp;" "&amp;D956/12)</f>
        <v/>
      </c>
      <c r="V956">
        <v>945</v>
      </c>
    </row>
    <row r="957" spans="4:22">
      <c r="D957" s="32" t="str">
        <f>IF(V957&lt;=calcs!$F$4,'Loan Calculator'!V957,"")</f>
        <v/>
      </c>
      <c r="E957" s="29" t="str" cm="1">
        <f t="array" ref="E957">_xlfn.IFS(F957="","",G956&lt;F956,G956*calcs!$H$3,$D$8&lt;=0,$M$3-F957,$D$8&gt;0,$M$3-F957+$D$8,G956&lt;F956,G957*calcs!$H$3)</f>
        <v/>
      </c>
      <c r="F957" s="29" t="str" cm="1">
        <f t="array" ref="F957">_xlfn.IFS(F956="","",G956=0,"",G956&lt;1,"",G956&lt;F956,G956,AND(G956&gt;0,$D$8&gt;0),$D$8+($M$3-(G956*calcs!$H$3)),G956&gt;0,$M$3-(G956*calcs!$H$3))</f>
        <v/>
      </c>
      <c r="G957" s="29" t="str" cm="1">
        <f t="array" ref="G957">_xlfn.IFS(F957="","",G956-F957&lt;1,0,ISBLANK(F957)=TRUE,"",G956-F957&gt;1,G956-F957)</f>
        <v/>
      </c>
      <c r="H957" s="33" t="str">
        <f t="shared" si="15"/>
        <v/>
      </c>
      <c r="I957" s="2" t="str" cm="1">
        <f t="array" ref="I957">_xlfn.IFS(OR(D957="",E957="",F957=""),"",MOD(D957,12)&lt;&gt;0,"",MOD(D957,12)=0,"Year End"&amp;" "&amp;D957/12)</f>
        <v/>
      </c>
      <c r="V957">
        <v>946</v>
      </c>
    </row>
    <row r="958" spans="4:22">
      <c r="D958" s="30" t="str">
        <f>IF(V958&lt;=calcs!$F$4,'Loan Calculator'!V958,"")</f>
        <v/>
      </c>
      <c r="E958" s="27" t="str" cm="1">
        <f t="array" ref="E958">_xlfn.IFS(F958="","",G957&lt;F957,G957*calcs!$H$3,$D$8&lt;=0,$M$3-F958,$D$8&gt;0,$M$3-F958+$D$8,G957&lt;F957,G958*calcs!$H$3)</f>
        <v/>
      </c>
      <c r="F958" s="27" t="str" cm="1">
        <f t="array" ref="F958">_xlfn.IFS(F957="","",G957=0,"",G957&lt;1,"",G957&lt;F957,G957,AND(G957&gt;0,$D$8&gt;0),$D$8+($M$3-(G957*calcs!$H$3)),G957&gt;0,$M$3-(G957*calcs!$H$3))</f>
        <v/>
      </c>
      <c r="G958" s="27" t="str" cm="1">
        <f t="array" ref="G958">_xlfn.IFS(F958="","",G957-F958&lt;1,0,ISBLANK(F958)=TRUE,"",G957-F958&gt;1,G957-F958)</f>
        <v/>
      </c>
      <c r="H958" s="31" t="str">
        <f t="shared" si="15"/>
        <v/>
      </c>
      <c r="I958" s="2" t="str" cm="1">
        <f t="array" ref="I958">_xlfn.IFS(OR(D958="",E958="",F958=""),"",MOD(D958,12)&lt;&gt;0,"",MOD(D958,12)=0,"Year End"&amp;" "&amp;D958/12)</f>
        <v/>
      </c>
      <c r="V958">
        <v>947</v>
      </c>
    </row>
    <row r="959" spans="4:22">
      <c r="D959" s="32" t="str">
        <f>IF(V959&lt;=calcs!$F$4,'Loan Calculator'!V959,"")</f>
        <v/>
      </c>
      <c r="E959" s="29" t="str" cm="1">
        <f t="array" ref="E959">_xlfn.IFS(F959="","",G958&lt;F958,G958*calcs!$H$3,$D$8&lt;=0,$M$3-F959,$D$8&gt;0,$M$3-F959+$D$8,G958&lt;F958,G959*calcs!$H$3)</f>
        <v/>
      </c>
      <c r="F959" s="29" t="str" cm="1">
        <f t="array" ref="F959">_xlfn.IFS(F958="","",G958=0,"",G958&lt;1,"",G958&lt;F958,G958,AND(G958&gt;0,$D$8&gt;0),$D$8+($M$3-(G958*calcs!$H$3)),G958&gt;0,$M$3-(G958*calcs!$H$3))</f>
        <v/>
      </c>
      <c r="G959" s="29" t="str" cm="1">
        <f t="array" ref="G959">_xlfn.IFS(F959="","",G958-F959&lt;1,0,ISBLANK(F959)=TRUE,"",G958-F959&gt;1,G958-F959)</f>
        <v/>
      </c>
      <c r="H959" s="33" t="str">
        <f t="shared" si="15"/>
        <v/>
      </c>
      <c r="I959" s="2" t="str" cm="1">
        <f t="array" ref="I959">_xlfn.IFS(OR(D959="",E959="",F959=""),"",MOD(D959,12)&lt;&gt;0,"",MOD(D959,12)=0,"Year End"&amp;" "&amp;D959/12)</f>
        <v/>
      </c>
      <c r="V959">
        <v>948</v>
      </c>
    </row>
    <row r="960" spans="4:22">
      <c r="D960" s="30" t="str">
        <f>IF(V960&lt;=calcs!$F$4,'Loan Calculator'!V960,"")</f>
        <v/>
      </c>
      <c r="E960" s="27" t="str" cm="1">
        <f t="array" ref="E960">_xlfn.IFS(F960="","",G959&lt;F959,G959*calcs!$H$3,$D$8&lt;=0,$M$3-F960,$D$8&gt;0,$M$3-F960+$D$8,G959&lt;F959,G960*calcs!$H$3)</f>
        <v/>
      </c>
      <c r="F960" s="27" t="str" cm="1">
        <f t="array" ref="F960">_xlfn.IFS(F959="","",G959=0,"",G959&lt;1,"",G959&lt;F959,G959,AND(G959&gt;0,$D$8&gt;0),$D$8+($M$3-(G959*calcs!$H$3)),G959&gt;0,$M$3-(G959*calcs!$H$3))</f>
        <v/>
      </c>
      <c r="G960" s="27" t="str" cm="1">
        <f t="array" ref="G960">_xlfn.IFS(F960="","",G959-F960&lt;1,0,ISBLANK(F960)=TRUE,"",G959-F960&gt;1,G959-F960)</f>
        <v/>
      </c>
      <c r="H960" s="31" t="str">
        <f t="shared" si="15"/>
        <v/>
      </c>
      <c r="I960" s="2" t="str" cm="1">
        <f t="array" ref="I960">_xlfn.IFS(OR(D960="",E960="",F960=""),"",MOD(D960,12)&lt;&gt;0,"",MOD(D960,12)=0,"Year End"&amp;" "&amp;D960/12)</f>
        <v/>
      </c>
      <c r="V960">
        <v>949</v>
      </c>
    </row>
    <row r="961" spans="4:22">
      <c r="D961" s="32" t="str">
        <f>IF(V961&lt;=calcs!$F$4,'Loan Calculator'!V961,"")</f>
        <v/>
      </c>
      <c r="E961" s="29" t="str" cm="1">
        <f t="array" ref="E961">_xlfn.IFS(F961="","",G960&lt;F960,G960*calcs!$H$3,$D$8&lt;=0,$M$3-F961,$D$8&gt;0,$M$3-F961+$D$8,G960&lt;F960,G961*calcs!$H$3)</f>
        <v/>
      </c>
      <c r="F961" s="29" t="str" cm="1">
        <f t="array" ref="F961">_xlfn.IFS(F960="","",G960=0,"",G960&lt;1,"",G960&lt;F960,G960,AND(G960&gt;0,$D$8&gt;0),$D$8+($M$3-(G960*calcs!$H$3)),G960&gt;0,$M$3-(G960*calcs!$H$3))</f>
        <v/>
      </c>
      <c r="G961" s="29" t="str" cm="1">
        <f t="array" ref="G961">_xlfn.IFS(F961="","",G960-F961&lt;1,0,ISBLANK(F961)=TRUE,"",G960-F961&gt;1,G960-F961)</f>
        <v/>
      </c>
      <c r="H961" s="33" t="str">
        <f t="shared" si="15"/>
        <v/>
      </c>
      <c r="I961" s="2" t="str" cm="1">
        <f t="array" ref="I961">_xlfn.IFS(OR(D961="",E961="",F961=""),"",MOD(D961,12)&lt;&gt;0,"",MOD(D961,12)=0,"Year End"&amp;" "&amp;D961/12)</f>
        <v/>
      </c>
      <c r="V961">
        <v>950</v>
      </c>
    </row>
    <row r="962" spans="4:22">
      <c r="D962" s="30" t="str">
        <f>IF(V962&lt;=calcs!$F$4,'Loan Calculator'!V962,"")</f>
        <v/>
      </c>
      <c r="E962" s="27" t="str" cm="1">
        <f t="array" ref="E962">_xlfn.IFS(F962="","",G961&lt;F961,G961*calcs!$H$3,$D$8&lt;=0,$M$3-F962,$D$8&gt;0,$M$3-F962+$D$8,G961&lt;F961,G962*calcs!$H$3)</f>
        <v/>
      </c>
      <c r="F962" s="27" t="str" cm="1">
        <f t="array" ref="F962">_xlfn.IFS(F961="","",G961=0,"",G961&lt;1,"",G961&lt;F961,G961,AND(G961&gt;0,$D$8&gt;0),$D$8+($M$3-(G961*calcs!$H$3)),G961&gt;0,$M$3-(G961*calcs!$H$3))</f>
        <v/>
      </c>
      <c r="G962" s="27" t="str" cm="1">
        <f t="array" ref="G962">_xlfn.IFS(F962="","",G961-F962&lt;1,0,ISBLANK(F962)=TRUE,"",G961-F962&gt;1,G961-F962)</f>
        <v/>
      </c>
      <c r="H962" s="31" t="str">
        <f t="shared" si="15"/>
        <v/>
      </c>
      <c r="I962" s="2" t="str" cm="1">
        <f t="array" ref="I962">_xlfn.IFS(OR(D962="",E962="",F962=""),"",MOD(D962,12)&lt;&gt;0,"",MOD(D962,12)=0,"Year End"&amp;" "&amp;D962/12)</f>
        <v/>
      </c>
      <c r="V962">
        <v>951</v>
      </c>
    </row>
    <row r="963" spans="4:22">
      <c r="D963" s="32" t="str">
        <f>IF(V963&lt;=calcs!$F$4,'Loan Calculator'!V963,"")</f>
        <v/>
      </c>
      <c r="E963" s="29" t="str" cm="1">
        <f t="array" ref="E963">_xlfn.IFS(F963="","",G962&lt;F962,G962*calcs!$H$3,$D$8&lt;=0,$M$3-F963,$D$8&gt;0,$M$3-F963+$D$8,G962&lt;F962,G963*calcs!$H$3)</f>
        <v/>
      </c>
      <c r="F963" s="29" t="str" cm="1">
        <f t="array" ref="F963">_xlfn.IFS(F962="","",G962=0,"",G962&lt;1,"",G962&lt;F962,G962,AND(G962&gt;0,$D$8&gt;0),$D$8+($M$3-(G962*calcs!$H$3)),G962&gt;0,$M$3-(G962*calcs!$H$3))</f>
        <v/>
      </c>
      <c r="G963" s="29" t="str" cm="1">
        <f t="array" ref="G963">_xlfn.IFS(F963="","",G962-F963&lt;1,0,ISBLANK(F963)=TRUE,"",G962-F963&gt;1,G962-F963)</f>
        <v/>
      </c>
      <c r="H963" s="33" t="str">
        <f t="shared" si="15"/>
        <v/>
      </c>
      <c r="I963" s="2" t="str" cm="1">
        <f t="array" ref="I963">_xlfn.IFS(OR(D963="",E963="",F963=""),"",MOD(D963,12)&lt;&gt;0,"",MOD(D963,12)=0,"Year End"&amp;" "&amp;D963/12)</f>
        <v/>
      </c>
      <c r="V963">
        <v>952</v>
      </c>
    </row>
    <row r="964" spans="4:22">
      <c r="D964" s="30" t="str">
        <f>IF(V964&lt;=calcs!$F$4,'Loan Calculator'!V964,"")</f>
        <v/>
      </c>
      <c r="E964" s="27" t="str" cm="1">
        <f t="array" ref="E964">_xlfn.IFS(F964="","",G963&lt;F963,G963*calcs!$H$3,$D$8&lt;=0,$M$3-F964,$D$8&gt;0,$M$3-F964+$D$8,G963&lt;F963,G964*calcs!$H$3)</f>
        <v/>
      </c>
      <c r="F964" s="27" t="str" cm="1">
        <f t="array" ref="F964">_xlfn.IFS(F963="","",G963=0,"",G963&lt;1,"",G963&lt;F963,G963,AND(G963&gt;0,$D$8&gt;0),$D$8+($M$3-(G963*calcs!$H$3)),G963&gt;0,$M$3-(G963*calcs!$H$3))</f>
        <v/>
      </c>
      <c r="G964" s="27" t="str" cm="1">
        <f t="array" ref="G964">_xlfn.IFS(F964="","",G963-F964&lt;1,0,ISBLANK(F964)=TRUE,"",G963-F964&gt;1,G963-F964)</f>
        <v/>
      </c>
      <c r="H964" s="31" t="str">
        <f t="shared" si="15"/>
        <v/>
      </c>
      <c r="I964" s="2" t="str" cm="1">
        <f t="array" ref="I964">_xlfn.IFS(OR(D964="",E964="",F964=""),"",MOD(D964,12)&lt;&gt;0,"",MOD(D964,12)=0,"Year End"&amp;" "&amp;D964/12)</f>
        <v/>
      </c>
      <c r="V964">
        <v>953</v>
      </c>
    </row>
    <row r="965" spans="4:22">
      <c r="D965" s="32" t="str">
        <f>IF(V965&lt;=calcs!$F$4,'Loan Calculator'!V965,"")</f>
        <v/>
      </c>
      <c r="E965" s="29" t="str" cm="1">
        <f t="array" ref="E965">_xlfn.IFS(F965="","",G964&lt;F964,G964*calcs!$H$3,$D$8&lt;=0,$M$3-F965,$D$8&gt;0,$M$3-F965+$D$8,G964&lt;F964,G965*calcs!$H$3)</f>
        <v/>
      </c>
      <c r="F965" s="29" t="str" cm="1">
        <f t="array" ref="F965">_xlfn.IFS(F964="","",G964=0,"",G964&lt;1,"",G964&lt;F964,G964,AND(G964&gt;0,$D$8&gt;0),$D$8+($M$3-(G964*calcs!$H$3)),G964&gt;0,$M$3-(G964*calcs!$H$3))</f>
        <v/>
      </c>
      <c r="G965" s="29" t="str" cm="1">
        <f t="array" ref="G965">_xlfn.IFS(F965="","",G964-F965&lt;1,0,ISBLANK(F965)=TRUE,"",G964-F965&gt;1,G964-F965)</f>
        <v/>
      </c>
      <c r="H965" s="33" t="str">
        <f t="shared" si="15"/>
        <v/>
      </c>
      <c r="I965" s="2" t="str" cm="1">
        <f t="array" ref="I965">_xlfn.IFS(OR(D965="",E965="",F965=""),"",MOD(D965,12)&lt;&gt;0,"",MOD(D965,12)=0,"Year End"&amp;" "&amp;D965/12)</f>
        <v/>
      </c>
      <c r="V965">
        <v>954</v>
      </c>
    </row>
    <row r="966" spans="4:22">
      <c r="D966" s="30" t="str">
        <f>IF(V966&lt;=calcs!$F$4,'Loan Calculator'!V966,"")</f>
        <v/>
      </c>
      <c r="E966" s="27" t="str" cm="1">
        <f t="array" ref="E966">_xlfn.IFS(F966="","",G965&lt;F965,G965*calcs!$H$3,$D$8&lt;=0,$M$3-F966,$D$8&gt;0,$M$3-F966+$D$8,G965&lt;F965,G966*calcs!$H$3)</f>
        <v/>
      </c>
      <c r="F966" s="27" t="str" cm="1">
        <f t="array" ref="F966">_xlfn.IFS(F965="","",G965=0,"",G965&lt;1,"",G965&lt;F965,G965,AND(G965&gt;0,$D$8&gt;0),$D$8+($M$3-(G965*calcs!$H$3)),G965&gt;0,$M$3-(G965*calcs!$H$3))</f>
        <v/>
      </c>
      <c r="G966" s="27" t="str" cm="1">
        <f t="array" ref="G966">_xlfn.IFS(F966="","",G965-F966&lt;1,0,ISBLANK(F966)=TRUE,"",G965-F966&gt;1,G965-F966)</f>
        <v/>
      </c>
      <c r="H966" s="31" t="str">
        <f t="shared" si="15"/>
        <v/>
      </c>
      <c r="I966" s="2" t="str" cm="1">
        <f t="array" ref="I966">_xlfn.IFS(OR(D966="",E966="",F966=""),"",MOD(D966,12)&lt;&gt;0,"",MOD(D966,12)=0,"Year End"&amp;" "&amp;D966/12)</f>
        <v/>
      </c>
      <c r="V966">
        <v>955</v>
      </c>
    </row>
    <row r="967" spans="4:22">
      <c r="D967" s="32" t="str">
        <f>IF(V967&lt;=calcs!$F$4,'Loan Calculator'!V967,"")</f>
        <v/>
      </c>
      <c r="E967" s="29" t="str" cm="1">
        <f t="array" ref="E967">_xlfn.IFS(F967="","",G966&lt;F966,G966*calcs!$H$3,$D$8&lt;=0,$M$3-F967,$D$8&gt;0,$M$3-F967+$D$8,G966&lt;F966,G967*calcs!$H$3)</f>
        <v/>
      </c>
      <c r="F967" s="29" t="str" cm="1">
        <f t="array" ref="F967">_xlfn.IFS(F966="","",G966=0,"",G966&lt;1,"",G966&lt;F966,G966,AND(G966&gt;0,$D$8&gt;0),$D$8+($M$3-(G966*calcs!$H$3)),G966&gt;0,$M$3-(G966*calcs!$H$3))</f>
        <v/>
      </c>
      <c r="G967" s="29" t="str" cm="1">
        <f t="array" ref="G967">_xlfn.IFS(F967="","",G966-F967&lt;1,0,ISBLANK(F967)=TRUE,"",G966-F967&gt;1,G966-F967)</f>
        <v/>
      </c>
      <c r="H967" s="33" t="str">
        <f t="shared" si="15"/>
        <v/>
      </c>
      <c r="I967" s="2" t="str" cm="1">
        <f t="array" ref="I967">_xlfn.IFS(OR(D967="",E967="",F967=""),"",MOD(D967,12)&lt;&gt;0,"",MOD(D967,12)=0,"Year End"&amp;" "&amp;D967/12)</f>
        <v/>
      </c>
      <c r="V967">
        <v>956</v>
      </c>
    </row>
    <row r="968" spans="4:22">
      <c r="D968" s="30" t="str">
        <f>IF(V968&lt;=calcs!$F$4,'Loan Calculator'!V968,"")</f>
        <v/>
      </c>
      <c r="E968" s="27" t="str" cm="1">
        <f t="array" ref="E968">_xlfn.IFS(F968="","",G967&lt;F967,G967*calcs!$H$3,$D$8&lt;=0,$M$3-F968,$D$8&gt;0,$M$3-F968+$D$8,G967&lt;F967,G968*calcs!$H$3)</f>
        <v/>
      </c>
      <c r="F968" s="27" t="str" cm="1">
        <f t="array" ref="F968">_xlfn.IFS(F967="","",G967=0,"",G967&lt;1,"",G967&lt;F967,G967,AND(G967&gt;0,$D$8&gt;0),$D$8+($M$3-(G967*calcs!$H$3)),G967&gt;0,$M$3-(G967*calcs!$H$3))</f>
        <v/>
      </c>
      <c r="G968" s="27" t="str" cm="1">
        <f t="array" ref="G968">_xlfn.IFS(F968="","",G967-F968&lt;1,0,ISBLANK(F968)=TRUE,"",G967-F968&gt;1,G967-F968)</f>
        <v/>
      </c>
      <c r="H968" s="31" t="str">
        <f t="shared" si="15"/>
        <v/>
      </c>
      <c r="I968" s="2" t="str" cm="1">
        <f t="array" ref="I968">_xlfn.IFS(OR(D968="",E968="",F968=""),"",MOD(D968,12)&lt;&gt;0,"",MOD(D968,12)=0,"Year End"&amp;" "&amp;D968/12)</f>
        <v/>
      </c>
      <c r="V968">
        <v>957</v>
      </c>
    </row>
    <row r="969" spans="4:22">
      <c r="D969" s="32" t="str">
        <f>IF(V969&lt;=calcs!$F$4,'Loan Calculator'!V969,"")</f>
        <v/>
      </c>
      <c r="E969" s="29" t="str" cm="1">
        <f t="array" ref="E969">_xlfn.IFS(F969="","",G968&lt;F968,G968*calcs!$H$3,$D$8&lt;=0,$M$3-F969,$D$8&gt;0,$M$3-F969+$D$8,G968&lt;F968,G969*calcs!$H$3)</f>
        <v/>
      </c>
      <c r="F969" s="29" t="str" cm="1">
        <f t="array" ref="F969">_xlfn.IFS(F968="","",G968=0,"",G968&lt;1,"",G968&lt;F968,G968,AND(G968&gt;0,$D$8&gt;0),$D$8+($M$3-(G968*calcs!$H$3)),G968&gt;0,$M$3-(G968*calcs!$H$3))</f>
        <v/>
      </c>
      <c r="G969" s="29" t="str" cm="1">
        <f t="array" ref="G969">_xlfn.IFS(F969="","",G968-F969&lt;1,0,ISBLANK(F969)=TRUE,"",G968-F969&gt;1,G968-F969)</f>
        <v/>
      </c>
      <c r="H969" s="33" t="str">
        <f t="shared" si="15"/>
        <v/>
      </c>
      <c r="I969" s="2" t="str" cm="1">
        <f t="array" ref="I969">_xlfn.IFS(OR(D969="",E969="",F969=""),"",MOD(D969,12)&lt;&gt;0,"",MOD(D969,12)=0,"Year End"&amp;" "&amp;D969/12)</f>
        <v/>
      </c>
      <c r="V969">
        <v>958</v>
      </c>
    </row>
    <row r="970" spans="4:22">
      <c r="D970" s="30" t="str">
        <f>IF(V970&lt;=calcs!$F$4,'Loan Calculator'!V970,"")</f>
        <v/>
      </c>
      <c r="E970" s="27" t="str" cm="1">
        <f t="array" ref="E970">_xlfn.IFS(F970="","",G969&lt;F969,G969*calcs!$H$3,$D$8&lt;=0,$M$3-F970,$D$8&gt;0,$M$3-F970+$D$8,G969&lt;F969,G970*calcs!$H$3)</f>
        <v/>
      </c>
      <c r="F970" s="27" t="str" cm="1">
        <f t="array" ref="F970">_xlfn.IFS(F969="","",G969=0,"",G969&lt;1,"",G969&lt;F969,G969,AND(G969&gt;0,$D$8&gt;0),$D$8+($M$3-(G969*calcs!$H$3)),G969&gt;0,$M$3-(G969*calcs!$H$3))</f>
        <v/>
      </c>
      <c r="G970" s="27" t="str" cm="1">
        <f t="array" ref="G970">_xlfn.IFS(F970="","",G969-F970&lt;1,0,ISBLANK(F970)=TRUE,"",G969-F970&gt;1,G969-F970)</f>
        <v/>
      </c>
      <c r="H970" s="31" t="str">
        <f t="shared" si="15"/>
        <v/>
      </c>
      <c r="I970" s="2" t="str" cm="1">
        <f t="array" ref="I970">_xlfn.IFS(OR(D970="",E970="",F970=""),"",MOD(D970,12)&lt;&gt;0,"",MOD(D970,12)=0,"Year End"&amp;" "&amp;D970/12)</f>
        <v/>
      </c>
      <c r="V970">
        <v>959</v>
      </c>
    </row>
    <row r="971" spans="4:22">
      <c r="D971" s="32" t="str">
        <f>IF(V971&lt;=calcs!$F$4,'Loan Calculator'!V971,"")</f>
        <v/>
      </c>
      <c r="E971" s="29" t="str" cm="1">
        <f t="array" ref="E971">_xlfn.IFS(F971="","",G970&lt;F970,G970*calcs!$H$3,$D$8&lt;=0,$M$3-F971,$D$8&gt;0,$M$3-F971+$D$8,G970&lt;F970,G971*calcs!$H$3)</f>
        <v/>
      </c>
      <c r="F971" s="29" t="str" cm="1">
        <f t="array" ref="F971">_xlfn.IFS(F970="","",G970=0,"",G970&lt;1,"",G970&lt;F970,G970,AND(G970&gt;0,$D$8&gt;0),$D$8+($M$3-(G970*calcs!$H$3)),G970&gt;0,$M$3-(G970*calcs!$H$3))</f>
        <v/>
      </c>
      <c r="G971" s="29" t="str" cm="1">
        <f t="array" ref="G971">_xlfn.IFS(F971="","",G970-F971&lt;1,0,ISBLANK(F971)=TRUE,"",G970-F971&gt;1,G970-F971)</f>
        <v/>
      </c>
      <c r="H971" s="33" t="str">
        <f t="shared" si="15"/>
        <v/>
      </c>
      <c r="I971" s="2" t="str" cm="1">
        <f t="array" ref="I971">_xlfn.IFS(OR(D971="",E971="",F971=""),"",MOD(D971,12)&lt;&gt;0,"",MOD(D971,12)=0,"Year End"&amp;" "&amp;D971/12)</f>
        <v/>
      </c>
      <c r="V971">
        <v>960</v>
      </c>
    </row>
    <row r="972" spans="4:22">
      <c r="D972" s="30" t="str">
        <f>IF(V972&lt;=calcs!$F$4,'Loan Calculator'!V972,"")</f>
        <v/>
      </c>
      <c r="E972" s="27" t="str" cm="1">
        <f t="array" ref="E972">_xlfn.IFS(F972="","",G971&lt;F971,G971*calcs!$H$3,$D$8&lt;=0,$M$3-F972,$D$8&gt;0,$M$3-F972+$D$8,G971&lt;F971,G972*calcs!$H$3)</f>
        <v/>
      </c>
      <c r="F972" s="27" t="str" cm="1">
        <f t="array" ref="F972">_xlfn.IFS(F971="","",G971=0,"",G971&lt;1,"",G971&lt;F971,G971,AND(G971&gt;0,$D$8&gt;0),$D$8+($M$3-(G971*calcs!$H$3)),G971&gt;0,$M$3-(G971*calcs!$H$3))</f>
        <v/>
      </c>
      <c r="G972" s="27" t="str" cm="1">
        <f t="array" ref="G972">_xlfn.IFS(F972="","",G971-F972&lt;1,0,ISBLANK(F972)=TRUE,"",G971-F972&gt;1,G971-F972)</f>
        <v/>
      </c>
      <c r="H972" s="31" t="str">
        <f t="shared" si="15"/>
        <v/>
      </c>
      <c r="I972" s="2" t="str" cm="1">
        <f t="array" ref="I972">_xlfn.IFS(OR(D972="",E972="",F972=""),"",MOD(D972,12)&lt;&gt;0,"",MOD(D972,12)=0,"Year End"&amp;" "&amp;D972/12)</f>
        <v/>
      </c>
      <c r="V972">
        <v>961</v>
      </c>
    </row>
    <row r="973" spans="4:22">
      <c r="D973" s="32" t="str">
        <f>IF(V973&lt;=calcs!$F$4,'Loan Calculator'!V973,"")</f>
        <v/>
      </c>
      <c r="E973" s="29" t="str" cm="1">
        <f t="array" ref="E973">_xlfn.IFS(F973="","",G972&lt;F972,G972*calcs!$H$3,$D$8&lt;=0,$M$3-F973,$D$8&gt;0,$M$3-F973+$D$8,G972&lt;F972,G973*calcs!$H$3)</f>
        <v/>
      </c>
      <c r="F973" s="29" t="str" cm="1">
        <f t="array" ref="F973">_xlfn.IFS(F972="","",G972=0,"",G972&lt;1,"",G972&lt;F972,G972,AND(G972&gt;0,$D$8&gt;0),$D$8+($M$3-(G972*calcs!$H$3)),G972&gt;0,$M$3-(G972*calcs!$H$3))</f>
        <v/>
      </c>
      <c r="G973" s="29" t="str" cm="1">
        <f t="array" ref="G973">_xlfn.IFS(F973="","",G972-F973&lt;1,0,ISBLANK(F973)=TRUE,"",G972-F973&gt;1,G972-F973)</f>
        <v/>
      </c>
      <c r="H973" s="33" t="str">
        <f t="shared" si="15"/>
        <v/>
      </c>
      <c r="I973" s="2" t="str" cm="1">
        <f t="array" ref="I973">_xlfn.IFS(OR(D973="",E973="",F973=""),"",MOD(D973,12)&lt;&gt;0,"",MOD(D973,12)=0,"Year End"&amp;" "&amp;D973/12)</f>
        <v/>
      </c>
      <c r="V973">
        <v>962</v>
      </c>
    </row>
    <row r="974" spans="4:22">
      <c r="D974" s="30" t="str">
        <f>IF(V974&lt;=calcs!$F$4,'Loan Calculator'!V974,"")</f>
        <v/>
      </c>
      <c r="E974" s="27" t="str" cm="1">
        <f t="array" ref="E974">_xlfn.IFS(F974="","",G973&lt;F973,G973*calcs!$H$3,$D$8&lt;=0,$M$3-F974,$D$8&gt;0,$M$3-F974+$D$8,G973&lt;F973,G974*calcs!$H$3)</f>
        <v/>
      </c>
      <c r="F974" s="27" t="str" cm="1">
        <f t="array" ref="F974">_xlfn.IFS(F973="","",G973=0,"",G973&lt;1,"",G973&lt;F973,G973,AND(G973&gt;0,$D$8&gt;0),$D$8+($M$3-(G973*calcs!$H$3)),G973&gt;0,$M$3-(G973*calcs!$H$3))</f>
        <v/>
      </c>
      <c r="G974" s="27" t="str" cm="1">
        <f t="array" ref="G974">_xlfn.IFS(F974="","",G973-F974&lt;1,0,ISBLANK(F974)=TRUE,"",G973-F974&gt;1,G973-F974)</f>
        <v/>
      </c>
      <c r="H974" s="31" t="str">
        <f t="shared" ref="H974:H1011" si="16">IF(OR(H973=0,H973="",E974="",F974=""),"",H973+E974+F974)</f>
        <v/>
      </c>
      <c r="I974" s="2" t="str" cm="1">
        <f t="array" ref="I974">_xlfn.IFS(OR(D974="",E974="",F974=""),"",MOD(D974,12)&lt;&gt;0,"",MOD(D974,12)=0,"Year End"&amp;" "&amp;D974/12)</f>
        <v/>
      </c>
      <c r="V974">
        <v>963</v>
      </c>
    </row>
    <row r="975" spans="4:22">
      <c r="D975" s="32" t="str">
        <f>IF(V975&lt;=calcs!$F$4,'Loan Calculator'!V975,"")</f>
        <v/>
      </c>
      <c r="E975" s="29" t="str" cm="1">
        <f t="array" ref="E975">_xlfn.IFS(F975="","",G974&lt;F974,G974*calcs!$H$3,$D$8&lt;=0,$M$3-F975,$D$8&gt;0,$M$3-F975+$D$8,G974&lt;F974,G975*calcs!$H$3)</f>
        <v/>
      </c>
      <c r="F975" s="29" t="str" cm="1">
        <f t="array" ref="F975">_xlfn.IFS(F974="","",G974=0,"",G974&lt;1,"",G974&lt;F974,G974,AND(G974&gt;0,$D$8&gt;0),$D$8+($M$3-(G974*calcs!$H$3)),G974&gt;0,$M$3-(G974*calcs!$H$3))</f>
        <v/>
      </c>
      <c r="G975" s="29" t="str" cm="1">
        <f t="array" ref="G975">_xlfn.IFS(F975="","",G974-F975&lt;1,0,ISBLANK(F975)=TRUE,"",G974-F975&gt;1,G974-F975)</f>
        <v/>
      </c>
      <c r="H975" s="33" t="str">
        <f t="shared" si="16"/>
        <v/>
      </c>
      <c r="I975" s="2" t="str" cm="1">
        <f t="array" ref="I975">_xlfn.IFS(OR(D975="",E975="",F975=""),"",MOD(D975,12)&lt;&gt;0,"",MOD(D975,12)=0,"Year End"&amp;" "&amp;D975/12)</f>
        <v/>
      </c>
      <c r="V975">
        <v>964</v>
      </c>
    </row>
    <row r="976" spans="4:22">
      <c r="D976" s="30" t="str">
        <f>IF(V976&lt;=calcs!$F$4,'Loan Calculator'!V976,"")</f>
        <v/>
      </c>
      <c r="E976" s="27" t="str" cm="1">
        <f t="array" ref="E976">_xlfn.IFS(F976="","",G975&lt;F975,G975*calcs!$H$3,$D$8&lt;=0,$M$3-F976,$D$8&gt;0,$M$3-F976+$D$8,G975&lt;F975,G976*calcs!$H$3)</f>
        <v/>
      </c>
      <c r="F976" s="27" t="str" cm="1">
        <f t="array" ref="F976">_xlfn.IFS(F975="","",G975=0,"",G975&lt;1,"",G975&lt;F975,G975,AND(G975&gt;0,$D$8&gt;0),$D$8+($M$3-(G975*calcs!$H$3)),G975&gt;0,$M$3-(G975*calcs!$H$3))</f>
        <v/>
      </c>
      <c r="G976" s="27" t="str" cm="1">
        <f t="array" ref="G976">_xlfn.IFS(F976="","",G975-F976&lt;1,0,ISBLANK(F976)=TRUE,"",G975-F976&gt;1,G975-F976)</f>
        <v/>
      </c>
      <c r="H976" s="31" t="str">
        <f t="shared" si="16"/>
        <v/>
      </c>
      <c r="I976" s="2" t="str" cm="1">
        <f t="array" ref="I976">_xlfn.IFS(OR(D976="",E976="",F976=""),"",MOD(D976,12)&lt;&gt;0,"",MOD(D976,12)=0,"Year End"&amp;" "&amp;D976/12)</f>
        <v/>
      </c>
      <c r="V976">
        <v>965</v>
      </c>
    </row>
    <row r="977" spans="4:22">
      <c r="D977" s="32" t="str">
        <f>IF(V977&lt;=calcs!$F$4,'Loan Calculator'!V977,"")</f>
        <v/>
      </c>
      <c r="E977" s="29" t="str" cm="1">
        <f t="array" ref="E977">_xlfn.IFS(F977="","",G976&lt;F976,G976*calcs!$H$3,$D$8&lt;=0,$M$3-F977,$D$8&gt;0,$M$3-F977+$D$8,G976&lt;F976,G977*calcs!$H$3)</f>
        <v/>
      </c>
      <c r="F977" s="29" t="str" cm="1">
        <f t="array" ref="F977">_xlfn.IFS(F976="","",G976=0,"",G976&lt;1,"",G976&lt;F976,G976,AND(G976&gt;0,$D$8&gt;0),$D$8+($M$3-(G976*calcs!$H$3)),G976&gt;0,$M$3-(G976*calcs!$H$3))</f>
        <v/>
      </c>
      <c r="G977" s="29" t="str" cm="1">
        <f t="array" ref="G977">_xlfn.IFS(F977="","",G976-F977&lt;1,0,ISBLANK(F977)=TRUE,"",G976-F977&gt;1,G976-F977)</f>
        <v/>
      </c>
      <c r="H977" s="33" t="str">
        <f t="shared" si="16"/>
        <v/>
      </c>
      <c r="I977" s="2" t="str" cm="1">
        <f t="array" ref="I977">_xlfn.IFS(OR(D977="",E977="",F977=""),"",MOD(D977,12)&lt;&gt;0,"",MOD(D977,12)=0,"Year End"&amp;" "&amp;D977/12)</f>
        <v/>
      </c>
      <c r="V977">
        <v>966</v>
      </c>
    </row>
    <row r="978" spans="4:22">
      <c r="D978" s="30" t="str">
        <f>IF(V978&lt;=calcs!$F$4,'Loan Calculator'!V978,"")</f>
        <v/>
      </c>
      <c r="E978" s="27" t="str" cm="1">
        <f t="array" ref="E978">_xlfn.IFS(F978="","",G977&lt;F977,G977*calcs!$H$3,$D$8&lt;=0,$M$3-F978,$D$8&gt;0,$M$3-F978+$D$8,G977&lt;F977,G978*calcs!$H$3)</f>
        <v/>
      </c>
      <c r="F978" s="27" t="str" cm="1">
        <f t="array" ref="F978">_xlfn.IFS(F977="","",G977=0,"",G977&lt;1,"",G977&lt;F977,G977,AND(G977&gt;0,$D$8&gt;0),$D$8+($M$3-(G977*calcs!$H$3)),G977&gt;0,$M$3-(G977*calcs!$H$3))</f>
        <v/>
      </c>
      <c r="G978" s="27" t="str" cm="1">
        <f t="array" ref="G978">_xlfn.IFS(F978="","",G977-F978&lt;1,0,ISBLANK(F978)=TRUE,"",G977-F978&gt;1,G977-F978)</f>
        <v/>
      </c>
      <c r="H978" s="31" t="str">
        <f t="shared" si="16"/>
        <v/>
      </c>
      <c r="I978" s="2" t="str" cm="1">
        <f t="array" ref="I978">_xlfn.IFS(OR(D978="",E978="",F978=""),"",MOD(D978,12)&lt;&gt;0,"",MOD(D978,12)=0,"Year End"&amp;" "&amp;D978/12)</f>
        <v/>
      </c>
      <c r="V978">
        <v>967</v>
      </c>
    </row>
    <row r="979" spans="4:22">
      <c r="D979" s="32" t="str">
        <f>IF(V979&lt;=calcs!$F$4,'Loan Calculator'!V979,"")</f>
        <v/>
      </c>
      <c r="E979" s="29" t="str" cm="1">
        <f t="array" ref="E979">_xlfn.IFS(F979="","",G978&lt;F978,G978*calcs!$H$3,$D$8&lt;=0,$M$3-F979,$D$8&gt;0,$M$3-F979+$D$8,G978&lt;F978,G979*calcs!$H$3)</f>
        <v/>
      </c>
      <c r="F979" s="29" t="str" cm="1">
        <f t="array" ref="F979">_xlfn.IFS(F978="","",G978=0,"",G978&lt;1,"",G978&lt;F978,G978,AND(G978&gt;0,$D$8&gt;0),$D$8+($M$3-(G978*calcs!$H$3)),G978&gt;0,$M$3-(G978*calcs!$H$3))</f>
        <v/>
      </c>
      <c r="G979" s="29" t="str" cm="1">
        <f t="array" ref="G979">_xlfn.IFS(F979="","",G978-F979&lt;1,0,ISBLANK(F979)=TRUE,"",G978-F979&gt;1,G978-F979)</f>
        <v/>
      </c>
      <c r="H979" s="33" t="str">
        <f t="shared" si="16"/>
        <v/>
      </c>
      <c r="I979" s="2" t="str" cm="1">
        <f t="array" ref="I979">_xlfn.IFS(OR(D979="",E979="",F979=""),"",MOD(D979,12)&lt;&gt;0,"",MOD(D979,12)=0,"Year End"&amp;" "&amp;D979/12)</f>
        <v/>
      </c>
      <c r="V979">
        <v>968</v>
      </c>
    </row>
    <row r="980" spans="4:22">
      <c r="D980" s="30" t="str">
        <f>IF(V980&lt;=calcs!$F$4,'Loan Calculator'!V980,"")</f>
        <v/>
      </c>
      <c r="E980" s="27" t="str" cm="1">
        <f t="array" ref="E980">_xlfn.IFS(F980="","",G979&lt;F979,G979*calcs!$H$3,$D$8&lt;=0,$M$3-F980,$D$8&gt;0,$M$3-F980+$D$8,G979&lt;F979,G980*calcs!$H$3)</f>
        <v/>
      </c>
      <c r="F980" s="27" t="str" cm="1">
        <f t="array" ref="F980">_xlfn.IFS(F979="","",G979=0,"",G979&lt;1,"",G979&lt;F979,G979,AND(G979&gt;0,$D$8&gt;0),$D$8+($M$3-(G979*calcs!$H$3)),G979&gt;0,$M$3-(G979*calcs!$H$3))</f>
        <v/>
      </c>
      <c r="G980" s="27" t="str" cm="1">
        <f t="array" ref="G980">_xlfn.IFS(F980="","",G979-F980&lt;1,0,ISBLANK(F980)=TRUE,"",G979-F980&gt;1,G979-F980)</f>
        <v/>
      </c>
      <c r="H980" s="31" t="str">
        <f t="shared" si="16"/>
        <v/>
      </c>
      <c r="I980" s="2" t="str" cm="1">
        <f t="array" ref="I980">_xlfn.IFS(OR(D980="",E980="",F980=""),"",MOD(D980,12)&lt;&gt;0,"",MOD(D980,12)=0,"Year End"&amp;" "&amp;D980/12)</f>
        <v/>
      </c>
      <c r="V980">
        <v>969</v>
      </c>
    </row>
    <row r="981" spans="4:22">
      <c r="D981" s="32" t="str">
        <f>IF(V981&lt;=calcs!$F$4,'Loan Calculator'!V981,"")</f>
        <v/>
      </c>
      <c r="E981" s="29" t="str" cm="1">
        <f t="array" ref="E981">_xlfn.IFS(F981="","",G980&lt;F980,G980*calcs!$H$3,$D$8&lt;=0,$M$3-F981,$D$8&gt;0,$M$3-F981+$D$8,G980&lt;F980,G981*calcs!$H$3)</f>
        <v/>
      </c>
      <c r="F981" s="29" t="str" cm="1">
        <f t="array" ref="F981">_xlfn.IFS(F980="","",G980=0,"",G980&lt;1,"",G980&lt;F980,G980,AND(G980&gt;0,$D$8&gt;0),$D$8+($M$3-(G980*calcs!$H$3)),G980&gt;0,$M$3-(G980*calcs!$H$3))</f>
        <v/>
      </c>
      <c r="G981" s="29" t="str" cm="1">
        <f t="array" ref="G981">_xlfn.IFS(F981="","",G980-F981&lt;1,0,ISBLANK(F981)=TRUE,"",G980-F981&gt;1,G980-F981)</f>
        <v/>
      </c>
      <c r="H981" s="33" t="str">
        <f t="shared" si="16"/>
        <v/>
      </c>
      <c r="I981" s="2" t="str" cm="1">
        <f t="array" ref="I981">_xlfn.IFS(OR(D981="",E981="",F981=""),"",MOD(D981,12)&lt;&gt;0,"",MOD(D981,12)=0,"Year End"&amp;" "&amp;D981/12)</f>
        <v/>
      </c>
      <c r="V981">
        <v>970</v>
      </c>
    </row>
    <row r="982" spans="4:22">
      <c r="D982" s="30" t="str">
        <f>IF(V982&lt;=calcs!$F$4,'Loan Calculator'!V982,"")</f>
        <v/>
      </c>
      <c r="E982" s="27" t="str" cm="1">
        <f t="array" ref="E982">_xlfn.IFS(F982="","",G981&lt;F981,G981*calcs!$H$3,$D$8&lt;=0,$M$3-F982,$D$8&gt;0,$M$3-F982+$D$8,G981&lt;F981,G982*calcs!$H$3)</f>
        <v/>
      </c>
      <c r="F982" s="27" t="str" cm="1">
        <f t="array" ref="F982">_xlfn.IFS(F981="","",G981=0,"",G981&lt;1,"",G981&lt;F981,G981,AND(G981&gt;0,$D$8&gt;0),$D$8+($M$3-(G981*calcs!$H$3)),G981&gt;0,$M$3-(G981*calcs!$H$3))</f>
        <v/>
      </c>
      <c r="G982" s="27" t="str" cm="1">
        <f t="array" ref="G982">_xlfn.IFS(F982="","",G981-F982&lt;1,0,ISBLANK(F982)=TRUE,"",G981-F982&gt;1,G981-F982)</f>
        <v/>
      </c>
      <c r="H982" s="31" t="str">
        <f t="shared" si="16"/>
        <v/>
      </c>
      <c r="I982" s="2" t="str" cm="1">
        <f t="array" ref="I982">_xlfn.IFS(OR(D982="",E982="",F982=""),"",MOD(D982,12)&lt;&gt;0,"",MOD(D982,12)=0,"Year End"&amp;" "&amp;D982/12)</f>
        <v/>
      </c>
      <c r="V982">
        <v>971</v>
      </c>
    </row>
    <row r="983" spans="4:22">
      <c r="D983" s="32" t="str">
        <f>IF(V983&lt;=calcs!$F$4,'Loan Calculator'!V983,"")</f>
        <v/>
      </c>
      <c r="E983" s="29" t="str" cm="1">
        <f t="array" ref="E983">_xlfn.IFS(F983="","",G982&lt;F982,G982*calcs!$H$3,$D$8&lt;=0,$M$3-F983,$D$8&gt;0,$M$3-F983+$D$8,G982&lt;F982,G983*calcs!$H$3)</f>
        <v/>
      </c>
      <c r="F983" s="29" t="str" cm="1">
        <f t="array" ref="F983">_xlfn.IFS(F982="","",G982=0,"",G982&lt;1,"",G982&lt;F982,G982,AND(G982&gt;0,$D$8&gt;0),$D$8+($M$3-(G982*calcs!$H$3)),G982&gt;0,$M$3-(G982*calcs!$H$3))</f>
        <v/>
      </c>
      <c r="G983" s="29" t="str" cm="1">
        <f t="array" ref="G983">_xlfn.IFS(F983="","",G982-F983&lt;1,0,ISBLANK(F983)=TRUE,"",G982-F983&gt;1,G982-F983)</f>
        <v/>
      </c>
      <c r="H983" s="33" t="str">
        <f t="shared" si="16"/>
        <v/>
      </c>
      <c r="I983" s="2" t="str" cm="1">
        <f t="array" ref="I983">_xlfn.IFS(OR(D983="",E983="",F983=""),"",MOD(D983,12)&lt;&gt;0,"",MOD(D983,12)=0,"Year End"&amp;" "&amp;D983/12)</f>
        <v/>
      </c>
      <c r="V983">
        <v>972</v>
      </c>
    </row>
    <row r="984" spans="4:22">
      <c r="D984" s="30" t="str">
        <f>IF(V984&lt;=calcs!$F$4,'Loan Calculator'!V984,"")</f>
        <v/>
      </c>
      <c r="E984" s="27" t="str" cm="1">
        <f t="array" ref="E984">_xlfn.IFS(F984="","",G983&lt;F983,G983*calcs!$H$3,$D$8&lt;=0,$M$3-F984,$D$8&gt;0,$M$3-F984+$D$8,G983&lt;F983,G984*calcs!$H$3)</f>
        <v/>
      </c>
      <c r="F984" s="27" t="str" cm="1">
        <f t="array" ref="F984">_xlfn.IFS(F983="","",G983=0,"",G983&lt;1,"",G983&lt;F983,G983,AND(G983&gt;0,$D$8&gt;0),$D$8+($M$3-(G983*calcs!$H$3)),G983&gt;0,$M$3-(G983*calcs!$H$3))</f>
        <v/>
      </c>
      <c r="G984" s="27" t="str" cm="1">
        <f t="array" ref="G984">_xlfn.IFS(F984="","",G983-F984&lt;1,0,ISBLANK(F984)=TRUE,"",G983-F984&gt;1,G983-F984)</f>
        <v/>
      </c>
      <c r="H984" s="31" t="str">
        <f t="shared" si="16"/>
        <v/>
      </c>
      <c r="I984" s="2" t="str" cm="1">
        <f t="array" ref="I984">_xlfn.IFS(OR(D984="",E984="",F984=""),"",MOD(D984,12)&lt;&gt;0,"",MOD(D984,12)=0,"Year End"&amp;" "&amp;D984/12)</f>
        <v/>
      </c>
      <c r="V984">
        <v>973</v>
      </c>
    </row>
    <row r="985" spans="4:22">
      <c r="D985" s="32" t="str">
        <f>IF(V985&lt;=calcs!$F$4,'Loan Calculator'!V985,"")</f>
        <v/>
      </c>
      <c r="E985" s="29" t="str" cm="1">
        <f t="array" ref="E985">_xlfn.IFS(F985="","",G984&lt;F984,G984*calcs!$H$3,$D$8&lt;=0,$M$3-F985,$D$8&gt;0,$M$3-F985+$D$8,G984&lt;F984,G985*calcs!$H$3)</f>
        <v/>
      </c>
      <c r="F985" s="29" t="str" cm="1">
        <f t="array" ref="F985">_xlfn.IFS(F984="","",G984=0,"",G984&lt;1,"",G984&lt;F984,G984,AND(G984&gt;0,$D$8&gt;0),$D$8+($M$3-(G984*calcs!$H$3)),G984&gt;0,$M$3-(G984*calcs!$H$3))</f>
        <v/>
      </c>
      <c r="G985" s="29" t="str" cm="1">
        <f t="array" ref="G985">_xlfn.IFS(F985="","",G984-F985&lt;1,0,ISBLANK(F985)=TRUE,"",G984-F985&gt;1,G984-F985)</f>
        <v/>
      </c>
      <c r="H985" s="33" t="str">
        <f t="shared" si="16"/>
        <v/>
      </c>
      <c r="I985" s="2" t="str" cm="1">
        <f t="array" ref="I985">_xlfn.IFS(OR(D985="",E985="",F985=""),"",MOD(D985,12)&lt;&gt;0,"",MOD(D985,12)=0,"Year End"&amp;" "&amp;D985/12)</f>
        <v/>
      </c>
      <c r="V985">
        <v>974</v>
      </c>
    </row>
    <row r="986" spans="4:22">
      <c r="D986" s="30" t="str">
        <f>IF(V986&lt;=calcs!$F$4,'Loan Calculator'!V986,"")</f>
        <v/>
      </c>
      <c r="E986" s="27" t="str" cm="1">
        <f t="array" ref="E986">_xlfn.IFS(F986="","",G985&lt;F985,G985*calcs!$H$3,$D$8&lt;=0,$M$3-F986,$D$8&gt;0,$M$3-F986+$D$8,G985&lt;F985,G986*calcs!$H$3)</f>
        <v/>
      </c>
      <c r="F986" s="27" t="str" cm="1">
        <f t="array" ref="F986">_xlfn.IFS(F985="","",G985=0,"",G985&lt;1,"",G985&lt;F985,G985,AND(G985&gt;0,$D$8&gt;0),$D$8+($M$3-(G985*calcs!$H$3)),G985&gt;0,$M$3-(G985*calcs!$H$3))</f>
        <v/>
      </c>
      <c r="G986" s="27" t="str" cm="1">
        <f t="array" ref="G986">_xlfn.IFS(F986="","",G985-F986&lt;1,0,ISBLANK(F986)=TRUE,"",G985-F986&gt;1,G985-F986)</f>
        <v/>
      </c>
      <c r="H986" s="31" t="str">
        <f t="shared" si="16"/>
        <v/>
      </c>
      <c r="I986" s="2" t="str" cm="1">
        <f t="array" ref="I986">_xlfn.IFS(OR(D986="",E986="",F986=""),"",MOD(D986,12)&lt;&gt;0,"",MOD(D986,12)=0,"Year End"&amp;" "&amp;D986/12)</f>
        <v/>
      </c>
      <c r="V986">
        <v>975</v>
      </c>
    </row>
    <row r="987" spans="4:22">
      <c r="D987" s="32" t="str">
        <f>IF(V987&lt;=calcs!$F$4,'Loan Calculator'!V987,"")</f>
        <v/>
      </c>
      <c r="E987" s="29" t="str" cm="1">
        <f t="array" ref="E987">_xlfn.IFS(F987="","",G986&lt;F986,G986*calcs!$H$3,$D$8&lt;=0,$M$3-F987,$D$8&gt;0,$M$3-F987+$D$8,G986&lt;F986,G987*calcs!$H$3)</f>
        <v/>
      </c>
      <c r="F987" s="29" t="str" cm="1">
        <f t="array" ref="F987">_xlfn.IFS(F986="","",G986=0,"",G986&lt;1,"",G986&lt;F986,G986,AND(G986&gt;0,$D$8&gt;0),$D$8+($M$3-(G986*calcs!$H$3)),G986&gt;0,$M$3-(G986*calcs!$H$3))</f>
        <v/>
      </c>
      <c r="G987" s="29" t="str" cm="1">
        <f t="array" ref="G987">_xlfn.IFS(F987="","",G986-F987&lt;1,0,ISBLANK(F987)=TRUE,"",G986-F987&gt;1,G986-F987)</f>
        <v/>
      </c>
      <c r="H987" s="33" t="str">
        <f t="shared" si="16"/>
        <v/>
      </c>
      <c r="I987" s="2" t="str" cm="1">
        <f t="array" ref="I987">_xlfn.IFS(OR(D987="",E987="",F987=""),"",MOD(D987,12)&lt;&gt;0,"",MOD(D987,12)=0,"Year End"&amp;" "&amp;D987/12)</f>
        <v/>
      </c>
      <c r="V987">
        <v>976</v>
      </c>
    </row>
    <row r="988" spans="4:22">
      <c r="D988" s="30" t="str">
        <f>IF(V988&lt;=calcs!$F$4,'Loan Calculator'!V988,"")</f>
        <v/>
      </c>
      <c r="E988" s="27" t="str" cm="1">
        <f t="array" ref="E988">_xlfn.IFS(F988="","",G987&lt;F987,G987*calcs!$H$3,$D$8&lt;=0,$M$3-F988,$D$8&gt;0,$M$3-F988+$D$8,G987&lt;F987,G988*calcs!$H$3)</f>
        <v/>
      </c>
      <c r="F988" s="27" t="str" cm="1">
        <f t="array" ref="F988">_xlfn.IFS(F987="","",G987=0,"",G987&lt;1,"",G987&lt;F987,G987,AND(G987&gt;0,$D$8&gt;0),$D$8+($M$3-(G987*calcs!$H$3)),G987&gt;0,$M$3-(G987*calcs!$H$3))</f>
        <v/>
      </c>
      <c r="G988" s="27" t="str" cm="1">
        <f t="array" ref="G988">_xlfn.IFS(F988="","",G987-F988&lt;1,0,ISBLANK(F988)=TRUE,"",G987-F988&gt;1,G987-F988)</f>
        <v/>
      </c>
      <c r="H988" s="31" t="str">
        <f t="shared" si="16"/>
        <v/>
      </c>
      <c r="I988" s="2" t="str" cm="1">
        <f t="array" ref="I988">_xlfn.IFS(OR(D988="",E988="",F988=""),"",MOD(D988,12)&lt;&gt;0,"",MOD(D988,12)=0,"Year End"&amp;" "&amp;D988/12)</f>
        <v/>
      </c>
      <c r="V988">
        <v>977</v>
      </c>
    </row>
    <row r="989" spans="4:22">
      <c r="D989" s="32" t="str">
        <f>IF(V989&lt;=calcs!$F$4,'Loan Calculator'!V989,"")</f>
        <v/>
      </c>
      <c r="E989" s="29" t="str" cm="1">
        <f t="array" ref="E989">_xlfn.IFS(F989="","",G988&lt;F988,G988*calcs!$H$3,$D$8&lt;=0,$M$3-F989,$D$8&gt;0,$M$3-F989+$D$8,G988&lt;F988,G989*calcs!$H$3)</f>
        <v/>
      </c>
      <c r="F989" s="29" t="str" cm="1">
        <f t="array" ref="F989">_xlfn.IFS(F988="","",G988=0,"",G988&lt;1,"",G988&lt;F988,G988,AND(G988&gt;0,$D$8&gt;0),$D$8+($M$3-(G988*calcs!$H$3)),G988&gt;0,$M$3-(G988*calcs!$H$3))</f>
        <v/>
      </c>
      <c r="G989" s="29" t="str" cm="1">
        <f t="array" ref="G989">_xlfn.IFS(F989="","",G988-F989&lt;1,0,ISBLANK(F989)=TRUE,"",G988-F989&gt;1,G988-F989)</f>
        <v/>
      </c>
      <c r="H989" s="33" t="str">
        <f t="shared" si="16"/>
        <v/>
      </c>
      <c r="I989" s="2" t="str" cm="1">
        <f t="array" ref="I989">_xlfn.IFS(OR(D989="",E989="",F989=""),"",MOD(D989,12)&lt;&gt;0,"",MOD(D989,12)=0,"Year End"&amp;" "&amp;D989/12)</f>
        <v/>
      </c>
      <c r="V989">
        <v>978</v>
      </c>
    </row>
    <row r="990" spans="4:22">
      <c r="D990" s="30" t="str">
        <f>IF(V990&lt;=calcs!$F$4,'Loan Calculator'!V990,"")</f>
        <v/>
      </c>
      <c r="E990" s="27" t="str" cm="1">
        <f t="array" ref="E990">_xlfn.IFS(F990="","",G989&lt;F989,G989*calcs!$H$3,$D$8&lt;=0,$M$3-F990,$D$8&gt;0,$M$3-F990+$D$8,G989&lt;F989,G990*calcs!$H$3)</f>
        <v/>
      </c>
      <c r="F990" s="27" t="str" cm="1">
        <f t="array" ref="F990">_xlfn.IFS(F989="","",G989=0,"",G989&lt;1,"",G989&lt;F989,G989,AND(G989&gt;0,$D$8&gt;0),$D$8+($M$3-(G989*calcs!$H$3)),G989&gt;0,$M$3-(G989*calcs!$H$3))</f>
        <v/>
      </c>
      <c r="G990" s="27" t="str" cm="1">
        <f t="array" ref="G990">_xlfn.IFS(F990="","",G989-F990&lt;1,0,ISBLANK(F990)=TRUE,"",G989-F990&gt;1,G989-F990)</f>
        <v/>
      </c>
      <c r="H990" s="31" t="str">
        <f t="shared" si="16"/>
        <v/>
      </c>
      <c r="I990" s="2" t="str" cm="1">
        <f t="array" ref="I990">_xlfn.IFS(OR(D990="",E990="",F990=""),"",MOD(D990,12)&lt;&gt;0,"",MOD(D990,12)=0,"Year End"&amp;" "&amp;D990/12)</f>
        <v/>
      </c>
      <c r="V990">
        <v>979</v>
      </c>
    </row>
    <row r="991" spans="4:22">
      <c r="D991" s="32" t="str">
        <f>IF(V991&lt;=calcs!$F$4,'Loan Calculator'!V991,"")</f>
        <v/>
      </c>
      <c r="E991" s="29" t="str" cm="1">
        <f t="array" ref="E991">_xlfn.IFS(F991="","",G990&lt;F990,G990*calcs!$H$3,$D$8&lt;=0,$M$3-F991,$D$8&gt;0,$M$3-F991+$D$8,G990&lt;F990,G991*calcs!$H$3)</f>
        <v/>
      </c>
      <c r="F991" s="29" t="str" cm="1">
        <f t="array" ref="F991">_xlfn.IFS(F990="","",G990=0,"",G990&lt;1,"",G990&lt;F990,G990,AND(G990&gt;0,$D$8&gt;0),$D$8+($M$3-(G990*calcs!$H$3)),G990&gt;0,$M$3-(G990*calcs!$H$3))</f>
        <v/>
      </c>
      <c r="G991" s="29" t="str" cm="1">
        <f t="array" ref="G991">_xlfn.IFS(F991="","",G990-F991&lt;1,0,ISBLANK(F991)=TRUE,"",G990-F991&gt;1,G990-F991)</f>
        <v/>
      </c>
      <c r="H991" s="33" t="str">
        <f t="shared" si="16"/>
        <v/>
      </c>
      <c r="I991" s="2" t="str" cm="1">
        <f t="array" ref="I991">_xlfn.IFS(OR(D991="",E991="",F991=""),"",MOD(D991,12)&lt;&gt;0,"",MOD(D991,12)=0,"Year End"&amp;" "&amp;D991/12)</f>
        <v/>
      </c>
      <c r="V991">
        <v>980</v>
      </c>
    </row>
    <row r="992" spans="4:22">
      <c r="D992" s="30" t="str">
        <f>IF(V992&lt;=calcs!$F$4,'Loan Calculator'!V992,"")</f>
        <v/>
      </c>
      <c r="E992" s="27" t="str" cm="1">
        <f t="array" ref="E992">_xlfn.IFS(F992="","",G991&lt;F991,G991*calcs!$H$3,$D$8&lt;=0,$M$3-F992,$D$8&gt;0,$M$3-F992+$D$8,G991&lt;F991,G992*calcs!$H$3)</f>
        <v/>
      </c>
      <c r="F992" s="27" t="str" cm="1">
        <f t="array" ref="F992">_xlfn.IFS(F991="","",G991=0,"",G991&lt;1,"",G991&lt;F991,G991,AND(G991&gt;0,$D$8&gt;0),$D$8+($M$3-(G991*calcs!$H$3)),G991&gt;0,$M$3-(G991*calcs!$H$3))</f>
        <v/>
      </c>
      <c r="G992" s="27" t="str" cm="1">
        <f t="array" ref="G992">_xlfn.IFS(F992="","",G991-F992&lt;1,0,ISBLANK(F992)=TRUE,"",G991-F992&gt;1,G991-F992)</f>
        <v/>
      </c>
      <c r="H992" s="31" t="str">
        <f t="shared" si="16"/>
        <v/>
      </c>
      <c r="I992" s="2" t="str" cm="1">
        <f t="array" ref="I992">_xlfn.IFS(OR(D992="",E992="",F992=""),"",MOD(D992,12)&lt;&gt;0,"",MOD(D992,12)=0,"Year End"&amp;" "&amp;D992/12)</f>
        <v/>
      </c>
      <c r="V992">
        <v>981</v>
      </c>
    </row>
    <row r="993" spans="4:22">
      <c r="D993" s="32" t="str">
        <f>IF(V993&lt;=calcs!$F$4,'Loan Calculator'!V993,"")</f>
        <v/>
      </c>
      <c r="E993" s="29" t="str" cm="1">
        <f t="array" ref="E993">_xlfn.IFS(F993="","",G992&lt;F992,G992*calcs!$H$3,$D$8&lt;=0,$M$3-F993,$D$8&gt;0,$M$3-F993+$D$8,G992&lt;F992,G993*calcs!$H$3)</f>
        <v/>
      </c>
      <c r="F993" s="29" t="str" cm="1">
        <f t="array" ref="F993">_xlfn.IFS(F992="","",G992=0,"",G992&lt;1,"",G992&lt;F992,G992,AND(G992&gt;0,$D$8&gt;0),$D$8+($M$3-(G992*calcs!$H$3)),G992&gt;0,$M$3-(G992*calcs!$H$3))</f>
        <v/>
      </c>
      <c r="G993" s="29" t="str" cm="1">
        <f t="array" ref="G993">_xlfn.IFS(F993="","",G992-F993&lt;1,0,ISBLANK(F993)=TRUE,"",G992-F993&gt;1,G992-F993)</f>
        <v/>
      </c>
      <c r="H993" s="33" t="str">
        <f t="shared" si="16"/>
        <v/>
      </c>
      <c r="I993" s="2" t="str" cm="1">
        <f t="array" ref="I993">_xlfn.IFS(OR(D993="",E993="",F993=""),"",MOD(D993,12)&lt;&gt;0,"",MOD(D993,12)=0,"Year End"&amp;" "&amp;D993/12)</f>
        <v/>
      </c>
      <c r="V993">
        <v>982</v>
      </c>
    </row>
    <row r="994" spans="4:22">
      <c r="D994" s="30" t="str">
        <f>IF(V994&lt;=calcs!$F$4,'Loan Calculator'!V994,"")</f>
        <v/>
      </c>
      <c r="E994" s="27" t="str" cm="1">
        <f t="array" ref="E994">_xlfn.IFS(F994="","",G993&lt;F993,G993*calcs!$H$3,$D$8&lt;=0,$M$3-F994,$D$8&gt;0,$M$3-F994+$D$8,G993&lt;F993,G994*calcs!$H$3)</f>
        <v/>
      </c>
      <c r="F994" s="27" t="str" cm="1">
        <f t="array" ref="F994">_xlfn.IFS(F993="","",G993=0,"",G993&lt;1,"",G993&lt;F993,G993,AND(G993&gt;0,$D$8&gt;0),$D$8+($M$3-(G993*calcs!$H$3)),G993&gt;0,$M$3-(G993*calcs!$H$3))</f>
        <v/>
      </c>
      <c r="G994" s="27" t="str" cm="1">
        <f t="array" ref="G994">_xlfn.IFS(F994="","",G993-F994&lt;1,0,ISBLANK(F994)=TRUE,"",G993-F994&gt;1,G993-F994)</f>
        <v/>
      </c>
      <c r="H994" s="31" t="str">
        <f t="shared" si="16"/>
        <v/>
      </c>
      <c r="I994" s="2" t="str" cm="1">
        <f t="array" ref="I994">_xlfn.IFS(OR(D994="",E994="",F994=""),"",MOD(D994,12)&lt;&gt;0,"",MOD(D994,12)=0,"Year End"&amp;" "&amp;D994/12)</f>
        <v/>
      </c>
      <c r="V994">
        <v>983</v>
      </c>
    </row>
    <row r="995" spans="4:22">
      <c r="D995" s="32" t="str">
        <f>IF(V995&lt;=calcs!$F$4,'Loan Calculator'!V995,"")</f>
        <v/>
      </c>
      <c r="E995" s="29" t="str" cm="1">
        <f t="array" ref="E995">_xlfn.IFS(F995="","",G994&lt;F994,G994*calcs!$H$3,$D$8&lt;=0,$M$3-F995,$D$8&gt;0,$M$3-F995+$D$8,G994&lt;F994,G995*calcs!$H$3)</f>
        <v/>
      </c>
      <c r="F995" s="29" t="str" cm="1">
        <f t="array" ref="F995">_xlfn.IFS(F994="","",G994=0,"",G994&lt;1,"",G994&lt;F994,G994,AND(G994&gt;0,$D$8&gt;0),$D$8+($M$3-(G994*calcs!$H$3)),G994&gt;0,$M$3-(G994*calcs!$H$3))</f>
        <v/>
      </c>
      <c r="G995" s="29" t="str" cm="1">
        <f t="array" ref="G995">_xlfn.IFS(F995="","",G994-F995&lt;1,0,ISBLANK(F995)=TRUE,"",G994-F995&gt;1,G994-F995)</f>
        <v/>
      </c>
      <c r="H995" s="33" t="str">
        <f t="shared" si="16"/>
        <v/>
      </c>
      <c r="I995" s="2" t="str" cm="1">
        <f t="array" ref="I995">_xlfn.IFS(OR(D995="",E995="",F995=""),"",MOD(D995,12)&lt;&gt;0,"",MOD(D995,12)=0,"Year End"&amp;" "&amp;D995/12)</f>
        <v/>
      </c>
      <c r="V995">
        <v>984</v>
      </c>
    </row>
    <row r="996" spans="4:22">
      <c r="D996" s="30" t="str">
        <f>IF(V996&lt;=calcs!$F$4,'Loan Calculator'!V996,"")</f>
        <v/>
      </c>
      <c r="E996" s="27" t="str" cm="1">
        <f t="array" ref="E996">_xlfn.IFS(F996="","",G995&lt;F995,G995*calcs!$H$3,$D$8&lt;=0,$M$3-F996,$D$8&gt;0,$M$3-F996+$D$8,G995&lt;F995,G996*calcs!$H$3)</f>
        <v/>
      </c>
      <c r="F996" s="27" t="str" cm="1">
        <f t="array" ref="F996">_xlfn.IFS(F995="","",G995=0,"",G995&lt;1,"",G995&lt;F995,G995,AND(G995&gt;0,$D$8&gt;0),$D$8+($M$3-(G995*calcs!$H$3)),G995&gt;0,$M$3-(G995*calcs!$H$3))</f>
        <v/>
      </c>
      <c r="G996" s="27" t="str" cm="1">
        <f t="array" ref="G996">_xlfn.IFS(F996="","",G995-F996&lt;1,0,ISBLANK(F996)=TRUE,"",G995-F996&gt;1,G995-F996)</f>
        <v/>
      </c>
      <c r="H996" s="31" t="str">
        <f t="shared" si="16"/>
        <v/>
      </c>
      <c r="I996" s="2" t="str" cm="1">
        <f t="array" ref="I996">_xlfn.IFS(OR(D996="",E996="",F996=""),"",MOD(D996,12)&lt;&gt;0,"",MOD(D996,12)=0,"Year End"&amp;" "&amp;D996/12)</f>
        <v/>
      </c>
      <c r="V996">
        <v>985</v>
      </c>
    </row>
    <row r="997" spans="4:22">
      <c r="D997" s="32" t="str">
        <f>IF(V997&lt;=calcs!$F$4,'Loan Calculator'!V997,"")</f>
        <v/>
      </c>
      <c r="E997" s="29" t="str" cm="1">
        <f t="array" ref="E997">_xlfn.IFS(F997="","",G996&lt;F996,G996*calcs!$H$3,$D$8&lt;=0,$M$3-F997,$D$8&gt;0,$M$3-F997+$D$8,G996&lt;F996,G997*calcs!$H$3)</f>
        <v/>
      </c>
      <c r="F997" s="29" t="str" cm="1">
        <f t="array" ref="F997">_xlfn.IFS(F996="","",G996=0,"",G996&lt;1,"",G996&lt;F996,G996,AND(G996&gt;0,$D$8&gt;0),$D$8+($M$3-(G996*calcs!$H$3)),G996&gt;0,$M$3-(G996*calcs!$H$3))</f>
        <v/>
      </c>
      <c r="G997" s="29" t="str" cm="1">
        <f t="array" ref="G997">_xlfn.IFS(F997="","",G996-F997&lt;1,0,ISBLANK(F997)=TRUE,"",G996-F997&gt;1,G996-F997)</f>
        <v/>
      </c>
      <c r="H997" s="33" t="str">
        <f t="shared" si="16"/>
        <v/>
      </c>
      <c r="I997" s="2" t="str" cm="1">
        <f t="array" ref="I997">_xlfn.IFS(OR(D997="",E997="",F997=""),"",MOD(D997,12)&lt;&gt;0,"",MOD(D997,12)=0,"Year End"&amp;" "&amp;D997/12)</f>
        <v/>
      </c>
      <c r="V997">
        <v>986</v>
      </c>
    </row>
    <row r="998" spans="4:22">
      <c r="D998" s="30" t="str">
        <f>IF(V998&lt;=calcs!$F$4,'Loan Calculator'!V998,"")</f>
        <v/>
      </c>
      <c r="E998" s="27" t="str" cm="1">
        <f t="array" ref="E998">_xlfn.IFS(F998="","",G997&lt;F997,G997*calcs!$H$3,$D$8&lt;=0,$M$3-F998,$D$8&gt;0,$M$3-F998+$D$8,G997&lt;F997,G998*calcs!$H$3)</f>
        <v/>
      </c>
      <c r="F998" s="27" t="str" cm="1">
        <f t="array" ref="F998">_xlfn.IFS(F997="","",G997=0,"",G997&lt;1,"",G997&lt;F997,G997,AND(G997&gt;0,$D$8&gt;0),$D$8+($M$3-(G997*calcs!$H$3)),G997&gt;0,$M$3-(G997*calcs!$H$3))</f>
        <v/>
      </c>
      <c r="G998" s="27" t="str" cm="1">
        <f t="array" ref="G998">_xlfn.IFS(F998="","",G997-F998&lt;1,0,ISBLANK(F998)=TRUE,"",G997-F998&gt;1,G997-F998)</f>
        <v/>
      </c>
      <c r="H998" s="31" t="str">
        <f t="shared" si="16"/>
        <v/>
      </c>
      <c r="I998" s="2" t="str" cm="1">
        <f t="array" ref="I998">_xlfn.IFS(OR(D998="",E998="",F998=""),"",MOD(D998,12)&lt;&gt;0,"",MOD(D998,12)=0,"Year End"&amp;" "&amp;D998/12)</f>
        <v/>
      </c>
      <c r="V998">
        <v>987</v>
      </c>
    </row>
    <row r="999" spans="4:22">
      <c r="D999" s="32" t="str">
        <f>IF(V999&lt;=calcs!$F$4,'Loan Calculator'!V999,"")</f>
        <v/>
      </c>
      <c r="E999" s="29" t="str" cm="1">
        <f t="array" ref="E999">_xlfn.IFS(F999="","",G998&lt;F998,G998*calcs!$H$3,$D$8&lt;=0,$M$3-F999,$D$8&gt;0,$M$3-F999+$D$8,G998&lt;F998,G999*calcs!$H$3)</f>
        <v/>
      </c>
      <c r="F999" s="29" t="str" cm="1">
        <f t="array" ref="F999">_xlfn.IFS(F998="","",G998=0,"",G998&lt;1,"",G998&lt;F998,G998,AND(G998&gt;0,$D$8&gt;0),$D$8+($M$3-(G998*calcs!$H$3)),G998&gt;0,$M$3-(G998*calcs!$H$3))</f>
        <v/>
      </c>
      <c r="G999" s="29" t="str" cm="1">
        <f t="array" ref="G999">_xlfn.IFS(F999="","",G998-F999&lt;1,0,ISBLANK(F999)=TRUE,"",G998-F999&gt;1,G998-F999)</f>
        <v/>
      </c>
      <c r="H999" s="33" t="str">
        <f t="shared" si="16"/>
        <v/>
      </c>
      <c r="I999" s="2" t="str" cm="1">
        <f t="array" ref="I999">_xlfn.IFS(OR(D999="",E999="",F999=""),"",MOD(D999,12)&lt;&gt;0,"",MOD(D999,12)=0,"Year End"&amp;" "&amp;D999/12)</f>
        <v/>
      </c>
      <c r="V999">
        <v>988</v>
      </c>
    </row>
    <row r="1000" spans="4:22">
      <c r="D1000" s="30" t="str">
        <f>IF(V1000&lt;=calcs!$F$4,'Loan Calculator'!V1000,"")</f>
        <v/>
      </c>
      <c r="E1000" s="27" t="str" cm="1">
        <f t="array" ref="E1000">_xlfn.IFS(F1000="","",G999&lt;F999,G999*calcs!$H$3,$D$8&lt;=0,$M$3-F1000,$D$8&gt;0,$M$3-F1000+$D$8,G999&lt;F999,G1000*calcs!$H$3)</f>
        <v/>
      </c>
      <c r="F1000" s="27" t="str" cm="1">
        <f t="array" ref="F1000">_xlfn.IFS(F999="","",G999=0,"",G999&lt;1,"",G999&lt;F999,G999,AND(G999&gt;0,$D$8&gt;0),$D$8+($M$3-(G999*calcs!$H$3)),G999&gt;0,$M$3-(G999*calcs!$H$3))</f>
        <v/>
      </c>
      <c r="G1000" s="27" t="str" cm="1">
        <f t="array" ref="G1000">_xlfn.IFS(F1000="","",G999-F1000&lt;1,0,ISBLANK(F1000)=TRUE,"",G999-F1000&gt;1,G999-F1000)</f>
        <v/>
      </c>
      <c r="H1000" s="31" t="str">
        <f t="shared" si="16"/>
        <v/>
      </c>
      <c r="I1000" s="2" t="str" cm="1">
        <f t="array" ref="I1000">_xlfn.IFS(OR(D1000="",E1000="",F1000=""),"",MOD(D1000,12)&lt;&gt;0,"",MOD(D1000,12)=0,"Year End"&amp;" "&amp;D1000/12)</f>
        <v/>
      </c>
      <c r="V1000">
        <v>989</v>
      </c>
    </row>
    <row r="1001" spans="4:22">
      <c r="D1001" s="32" t="str">
        <f>IF(V1001&lt;=calcs!$F$4,'Loan Calculator'!V1001,"")</f>
        <v/>
      </c>
      <c r="E1001" s="29" t="str" cm="1">
        <f t="array" ref="E1001">_xlfn.IFS(F1001="","",G1000&lt;F1000,G1000*calcs!$H$3,$D$8&lt;=0,$M$3-F1001,$D$8&gt;0,$M$3-F1001+$D$8,G1000&lt;F1000,G1001*calcs!$H$3)</f>
        <v/>
      </c>
      <c r="F1001" s="29" t="str" cm="1">
        <f t="array" ref="F1001">_xlfn.IFS(F1000="","",G1000=0,"",G1000&lt;1,"",G1000&lt;F1000,G1000,AND(G1000&gt;0,$D$8&gt;0),$D$8+($M$3-(G1000*calcs!$H$3)),G1000&gt;0,$M$3-(G1000*calcs!$H$3))</f>
        <v/>
      </c>
      <c r="G1001" s="29" t="str" cm="1">
        <f t="array" ref="G1001">_xlfn.IFS(F1001="","",G1000-F1001&lt;1,0,ISBLANK(F1001)=TRUE,"",G1000-F1001&gt;1,G1000-F1001)</f>
        <v/>
      </c>
      <c r="H1001" s="33" t="str">
        <f t="shared" si="16"/>
        <v/>
      </c>
      <c r="I1001" s="2" t="str" cm="1">
        <f t="array" ref="I1001">_xlfn.IFS(OR(D1001="",E1001="",F1001=""),"",MOD(D1001,12)&lt;&gt;0,"",MOD(D1001,12)=0,"Year End"&amp;" "&amp;D1001/12)</f>
        <v/>
      </c>
      <c r="V1001">
        <v>990</v>
      </c>
    </row>
    <row r="1002" spans="4:22">
      <c r="D1002" s="30" t="str">
        <f>IF(V1002&lt;=calcs!$F$4,'Loan Calculator'!V1002,"")</f>
        <v/>
      </c>
      <c r="E1002" s="27" t="str" cm="1">
        <f t="array" ref="E1002">_xlfn.IFS(F1002="","",G1001&lt;F1001,G1001*calcs!$H$3,$D$8&lt;=0,$M$3-F1002,$D$8&gt;0,$M$3-F1002+$D$8,G1001&lt;F1001,G1002*calcs!$H$3)</f>
        <v/>
      </c>
      <c r="F1002" s="27" t="str" cm="1">
        <f t="array" ref="F1002">_xlfn.IFS(F1001="","",G1001=0,"",G1001&lt;1,"",G1001&lt;F1001,G1001,AND(G1001&gt;0,$D$8&gt;0),$D$8+($M$3-(G1001*calcs!$H$3)),G1001&gt;0,$M$3-(G1001*calcs!$H$3))</f>
        <v/>
      </c>
      <c r="G1002" s="27" t="str" cm="1">
        <f t="array" ref="G1002">_xlfn.IFS(F1002="","",G1001-F1002&lt;1,0,ISBLANK(F1002)=TRUE,"",G1001-F1002&gt;1,G1001-F1002)</f>
        <v/>
      </c>
      <c r="H1002" s="31" t="str">
        <f t="shared" si="16"/>
        <v/>
      </c>
      <c r="I1002" s="2" t="str" cm="1">
        <f t="array" ref="I1002">_xlfn.IFS(OR(D1002="",E1002="",F1002=""),"",MOD(D1002,12)&lt;&gt;0,"",MOD(D1002,12)=0,"Year End"&amp;" "&amp;D1002/12)</f>
        <v/>
      </c>
      <c r="V1002">
        <v>991</v>
      </c>
    </row>
    <row r="1003" spans="4:22">
      <c r="D1003" s="32" t="str">
        <f>IF(V1003&lt;=calcs!$F$4,'Loan Calculator'!V1003,"")</f>
        <v/>
      </c>
      <c r="E1003" s="29" t="str" cm="1">
        <f t="array" ref="E1003">_xlfn.IFS(F1003="","",G1002&lt;F1002,G1002*calcs!$H$3,$D$8&lt;=0,$M$3-F1003,$D$8&gt;0,$M$3-F1003+$D$8,G1002&lt;F1002,G1003*calcs!$H$3)</f>
        <v/>
      </c>
      <c r="F1003" s="29" t="str" cm="1">
        <f t="array" ref="F1003">_xlfn.IFS(F1002="","",G1002=0,"",G1002&lt;1,"",G1002&lt;F1002,G1002,AND(G1002&gt;0,$D$8&gt;0),$D$8+($M$3-(G1002*calcs!$H$3)),G1002&gt;0,$M$3-(G1002*calcs!$H$3))</f>
        <v/>
      </c>
      <c r="G1003" s="29" t="str" cm="1">
        <f t="array" ref="G1003">_xlfn.IFS(F1003="","",G1002-F1003&lt;1,0,ISBLANK(F1003)=TRUE,"",G1002-F1003&gt;1,G1002-F1003)</f>
        <v/>
      </c>
      <c r="H1003" s="33" t="str">
        <f t="shared" si="16"/>
        <v/>
      </c>
      <c r="I1003" s="2" t="str" cm="1">
        <f t="array" ref="I1003">_xlfn.IFS(OR(D1003="",E1003="",F1003=""),"",MOD(D1003,12)&lt;&gt;0,"",MOD(D1003,12)=0,"Year End"&amp;" "&amp;D1003/12)</f>
        <v/>
      </c>
      <c r="V1003">
        <v>992</v>
      </c>
    </row>
    <row r="1004" spans="4:22">
      <c r="D1004" s="30" t="str">
        <f>IF(V1004&lt;=calcs!$F$4,'Loan Calculator'!V1004,"")</f>
        <v/>
      </c>
      <c r="E1004" s="27" t="str" cm="1">
        <f t="array" ref="E1004">_xlfn.IFS(F1004="","",G1003&lt;F1003,G1003*calcs!$H$3,$D$8&lt;=0,$M$3-F1004,$D$8&gt;0,$M$3-F1004+$D$8,G1003&lt;F1003,G1004*calcs!$H$3)</f>
        <v/>
      </c>
      <c r="F1004" s="27" t="str" cm="1">
        <f t="array" ref="F1004">_xlfn.IFS(F1003="","",G1003=0,"",G1003&lt;1,"",G1003&lt;F1003,G1003,AND(G1003&gt;0,$D$8&gt;0),$D$8+($M$3-(G1003*calcs!$H$3)),G1003&gt;0,$M$3-(G1003*calcs!$H$3))</f>
        <v/>
      </c>
      <c r="G1004" s="27" t="str" cm="1">
        <f t="array" ref="G1004">_xlfn.IFS(F1004="","",G1003-F1004&lt;1,0,ISBLANK(F1004)=TRUE,"",G1003-F1004&gt;1,G1003-F1004)</f>
        <v/>
      </c>
      <c r="H1004" s="31" t="str">
        <f t="shared" si="16"/>
        <v/>
      </c>
      <c r="I1004" s="2" t="str" cm="1">
        <f t="array" ref="I1004">_xlfn.IFS(OR(D1004="",E1004="",F1004=""),"",MOD(D1004,12)&lt;&gt;0,"",MOD(D1004,12)=0,"Year End"&amp;" "&amp;D1004/12)</f>
        <v/>
      </c>
      <c r="V1004">
        <v>993</v>
      </c>
    </row>
    <row r="1005" spans="4:22">
      <c r="D1005" s="32" t="str">
        <f>IF(V1005&lt;=calcs!$F$4,'Loan Calculator'!V1005,"")</f>
        <v/>
      </c>
      <c r="E1005" s="29" t="str" cm="1">
        <f t="array" ref="E1005">_xlfn.IFS(F1005="","",G1004&lt;F1004,G1004*calcs!$H$3,$D$8&lt;=0,$M$3-F1005,$D$8&gt;0,$M$3-F1005+$D$8,G1004&lt;F1004,G1005*calcs!$H$3)</f>
        <v/>
      </c>
      <c r="F1005" s="29" t="str" cm="1">
        <f t="array" ref="F1005">_xlfn.IFS(F1004="","",G1004=0,"",G1004&lt;1,"",G1004&lt;F1004,G1004,AND(G1004&gt;0,$D$8&gt;0),$D$8+($M$3-(G1004*calcs!$H$3)),G1004&gt;0,$M$3-(G1004*calcs!$H$3))</f>
        <v/>
      </c>
      <c r="G1005" s="29" t="str" cm="1">
        <f t="array" ref="G1005">_xlfn.IFS(F1005="","",G1004-F1005&lt;1,0,ISBLANK(F1005)=TRUE,"",G1004-F1005&gt;1,G1004-F1005)</f>
        <v/>
      </c>
      <c r="H1005" s="33" t="str">
        <f t="shared" si="16"/>
        <v/>
      </c>
      <c r="I1005" s="2" t="str" cm="1">
        <f t="array" ref="I1005">_xlfn.IFS(OR(D1005="",E1005="",F1005=""),"",MOD(D1005,12)&lt;&gt;0,"",MOD(D1005,12)=0,"Year End"&amp;" "&amp;D1005/12)</f>
        <v/>
      </c>
      <c r="V1005">
        <v>994</v>
      </c>
    </row>
    <row r="1006" spans="4:22">
      <c r="D1006" s="30" t="str">
        <f>IF(V1006&lt;=calcs!$F$4,'Loan Calculator'!V1006,"")</f>
        <v/>
      </c>
      <c r="E1006" s="27" t="str" cm="1">
        <f t="array" ref="E1006">_xlfn.IFS(F1006="","",G1005&lt;F1005,G1005*calcs!$H$3,$D$8&lt;=0,$M$3-F1006,$D$8&gt;0,$M$3-F1006+$D$8,G1005&lt;F1005,G1006*calcs!$H$3)</f>
        <v/>
      </c>
      <c r="F1006" s="27" t="str" cm="1">
        <f t="array" ref="F1006">_xlfn.IFS(F1005="","",G1005=0,"",G1005&lt;1,"",G1005&lt;F1005,G1005,AND(G1005&gt;0,$D$8&gt;0),$D$8+($M$3-(G1005*calcs!$H$3)),G1005&gt;0,$M$3-(G1005*calcs!$H$3))</f>
        <v/>
      </c>
      <c r="G1006" s="27" t="str" cm="1">
        <f t="array" ref="G1006">_xlfn.IFS(F1006="","",G1005-F1006&lt;1,0,ISBLANK(F1006)=TRUE,"",G1005-F1006&gt;1,G1005-F1006)</f>
        <v/>
      </c>
      <c r="H1006" s="31" t="str">
        <f t="shared" si="16"/>
        <v/>
      </c>
      <c r="I1006" s="2" t="str" cm="1">
        <f t="array" ref="I1006">_xlfn.IFS(OR(D1006="",E1006="",F1006=""),"",MOD(D1006,12)&lt;&gt;0,"",MOD(D1006,12)=0,"Year End"&amp;" "&amp;D1006/12)</f>
        <v/>
      </c>
      <c r="V1006">
        <v>995</v>
      </c>
    </row>
    <row r="1007" spans="4:22">
      <c r="D1007" s="32" t="str">
        <f>IF(V1007&lt;=calcs!$F$4,'Loan Calculator'!V1007,"")</f>
        <v/>
      </c>
      <c r="E1007" s="29" t="str" cm="1">
        <f t="array" ref="E1007">_xlfn.IFS(F1007="","",G1006&lt;F1006,G1006*calcs!$H$3,$D$8&lt;=0,$M$3-F1007,$D$8&gt;0,$M$3-F1007+$D$8,G1006&lt;F1006,G1007*calcs!$H$3)</f>
        <v/>
      </c>
      <c r="F1007" s="29" t="str" cm="1">
        <f t="array" ref="F1007">_xlfn.IFS(F1006="","",G1006=0,"",G1006&lt;1,"",G1006&lt;F1006,G1006,AND(G1006&gt;0,$D$8&gt;0),$D$8+($M$3-(G1006*calcs!$H$3)),G1006&gt;0,$M$3-(G1006*calcs!$H$3))</f>
        <v/>
      </c>
      <c r="G1007" s="29" t="str" cm="1">
        <f t="array" ref="G1007">_xlfn.IFS(F1007="","",G1006-F1007&lt;1,0,ISBLANK(F1007)=TRUE,"",G1006-F1007&gt;1,G1006-F1007)</f>
        <v/>
      </c>
      <c r="H1007" s="33" t="str">
        <f t="shared" si="16"/>
        <v/>
      </c>
      <c r="I1007" s="2" t="str" cm="1">
        <f t="array" ref="I1007">_xlfn.IFS(OR(D1007="",E1007="",F1007=""),"",MOD(D1007,12)&lt;&gt;0,"",MOD(D1007,12)=0,"Year End"&amp;" "&amp;D1007/12)</f>
        <v/>
      </c>
      <c r="V1007">
        <v>996</v>
      </c>
    </row>
    <row r="1008" spans="4:22">
      <c r="D1008" s="30" t="str">
        <f>IF(V1008&lt;=calcs!$F$4,'Loan Calculator'!V1008,"")</f>
        <v/>
      </c>
      <c r="E1008" s="27" t="str" cm="1">
        <f t="array" ref="E1008">_xlfn.IFS(F1008="","",G1007&lt;F1007,G1007*calcs!$H$3,$D$8&lt;=0,$M$3-F1008,$D$8&gt;0,$M$3-F1008+$D$8,G1007&lt;F1007,G1008*calcs!$H$3)</f>
        <v/>
      </c>
      <c r="F1008" s="27" t="str" cm="1">
        <f t="array" ref="F1008">_xlfn.IFS(F1007="","",G1007=0,"",G1007&lt;1,"",G1007&lt;F1007,G1007,AND(G1007&gt;0,$D$8&gt;0),$D$8+($M$3-(G1007*calcs!$H$3)),G1007&gt;0,$M$3-(G1007*calcs!$H$3))</f>
        <v/>
      </c>
      <c r="G1008" s="27" t="str" cm="1">
        <f t="array" ref="G1008">_xlfn.IFS(F1008="","",G1007-F1008&lt;1,0,ISBLANK(F1008)=TRUE,"",G1007-F1008&gt;1,G1007-F1008)</f>
        <v/>
      </c>
      <c r="H1008" s="31" t="str">
        <f t="shared" si="16"/>
        <v/>
      </c>
      <c r="I1008" s="2" t="str" cm="1">
        <f t="array" ref="I1008">_xlfn.IFS(OR(D1008="",E1008="",F1008=""),"",MOD(D1008,12)&lt;&gt;0,"",MOD(D1008,12)=0,"Year End"&amp;" "&amp;D1008/12)</f>
        <v/>
      </c>
      <c r="V1008">
        <v>997</v>
      </c>
    </row>
    <row r="1009" spans="4:22">
      <c r="D1009" s="32" t="str">
        <f>IF(V1009&lt;=calcs!$F$4,'Loan Calculator'!V1009,"")</f>
        <v/>
      </c>
      <c r="E1009" s="29" t="str" cm="1">
        <f t="array" ref="E1009">_xlfn.IFS(F1009="","",G1008&lt;F1008,G1008*calcs!$H$3,$D$8&lt;=0,$M$3-F1009,$D$8&gt;0,$M$3-F1009+$D$8,G1008&lt;F1008,G1009*calcs!$H$3)</f>
        <v/>
      </c>
      <c r="F1009" s="29" t="str" cm="1">
        <f t="array" ref="F1009">_xlfn.IFS(F1008="","",G1008=0,"",G1008&lt;1,"",G1008&lt;F1008,G1008,AND(G1008&gt;0,$D$8&gt;0),$D$8+($M$3-(G1008*calcs!$H$3)),G1008&gt;0,$M$3-(G1008*calcs!$H$3))</f>
        <v/>
      </c>
      <c r="G1009" s="29" t="str" cm="1">
        <f t="array" ref="G1009">_xlfn.IFS(F1009="","",G1008-F1009&lt;1,0,ISBLANK(F1009)=TRUE,"",G1008-F1009&gt;1,G1008-F1009)</f>
        <v/>
      </c>
      <c r="H1009" s="33" t="str">
        <f t="shared" si="16"/>
        <v/>
      </c>
      <c r="I1009" s="2" t="str" cm="1">
        <f t="array" ref="I1009">_xlfn.IFS(OR(D1009="",E1009="",F1009=""),"",MOD(D1009,12)&lt;&gt;0,"",MOD(D1009,12)=0,"Year End"&amp;" "&amp;D1009/12)</f>
        <v/>
      </c>
      <c r="V1009">
        <v>998</v>
      </c>
    </row>
    <row r="1010" spans="4:22">
      <c r="D1010" s="30" t="str">
        <f>IF(V1010&lt;=calcs!$F$4,'Loan Calculator'!V1010,"")</f>
        <v/>
      </c>
      <c r="E1010" s="27" t="str" cm="1">
        <f t="array" ref="E1010">_xlfn.IFS(F1010="","",G1009&lt;F1009,G1009*calcs!$H$3,$D$8&lt;=0,$M$3-F1010,$D$8&gt;0,$M$3-F1010+$D$8,G1009&lt;F1009,G1010*calcs!$H$3)</f>
        <v/>
      </c>
      <c r="F1010" s="27" t="str" cm="1">
        <f t="array" ref="F1010">_xlfn.IFS(F1009="","",G1009=0,"",G1009&lt;1,"",G1009&lt;F1009,G1009,AND(G1009&gt;0,$D$8&gt;0),$D$8+($M$3-(G1009*calcs!$H$3)),G1009&gt;0,$M$3-(G1009*calcs!$H$3))</f>
        <v/>
      </c>
      <c r="G1010" s="27" t="str" cm="1">
        <f t="array" ref="G1010">_xlfn.IFS(F1010="","",G1009-F1010&lt;1,0,ISBLANK(F1010)=TRUE,"",G1009-F1010&gt;1,G1009-F1010)</f>
        <v/>
      </c>
      <c r="H1010" s="31" t="str">
        <f t="shared" si="16"/>
        <v/>
      </c>
      <c r="I1010" s="2" t="str" cm="1">
        <f t="array" ref="I1010">_xlfn.IFS(OR(D1010="",E1010="",F1010=""),"",MOD(D1010,12)&lt;&gt;0,"",MOD(D1010,12)=0,"Year End"&amp;" "&amp;D1010/12)</f>
        <v/>
      </c>
      <c r="V1010">
        <v>999</v>
      </c>
    </row>
    <row r="1011" spans="4:22">
      <c r="D1011" s="34" t="str">
        <f>IF(V1011&lt;=calcs!$F$4,'Loan Calculator'!V1011,"")</f>
        <v/>
      </c>
      <c r="E1011" s="35" t="str" cm="1">
        <f t="array" ref="E1011">_xlfn.IFS(F1011="","",G1010&lt;F1010,G1010*calcs!$H$3,$D$8&lt;=0,$M$3-F1011,$D$8&gt;0,$M$3-F1011+$D$8,G1010&lt;F1010,G1011*calcs!$H$3)</f>
        <v/>
      </c>
      <c r="F1011" s="35" t="str" cm="1">
        <f t="array" ref="F1011">_xlfn.IFS(F1010="","",G1010=0,"",G1010&lt;1,"",G1010&lt;F1010,G1010,AND(G1010&gt;0,$D$8&gt;0),$D$8+($M$3-(G1010*calcs!$H$3)),G1010&gt;0,$M$3-(G1010*calcs!$H$3))</f>
        <v/>
      </c>
      <c r="G1011" s="35" t="str" cm="1">
        <f t="array" ref="G1011">_xlfn.IFS(F1011="","",G1010-F1011&lt;1,0,ISBLANK(F1011)=TRUE,"",G1010-F1011&gt;1,G1010-F1011)</f>
        <v/>
      </c>
      <c r="H1011" s="36" t="str">
        <f t="shared" si="16"/>
        <v/>
      </c>
      <c r="I1011" s="2" t="str" cm="1">
        <f t="array" ref="I1011">_xlfn.IFS(OR(D1011="",E1011="",F1011=""),"",MOD(D1011,12)&lt;&gt;0,"",MOD(D1011,12)=0,"Year End"&amp;" "&amp;D1011/12)</f>
        <v/>
      </c>
      <c r="V1011">
        <v>1000</v>
      </c>
    </row>
  </sheetData>
  <mergeCells count="5">
    <mergeCell ref="D10:H10"/>
    <mergeCell ref="A7:C7"/>
    <mergeCell ref="O1:T1"/>
    <mergeCell ref="A1:K1"/>
    <mergeCell ref="A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59F7-C145-42FF-BC67-B3B8A318050E}">
  <sheetPr codeName="Sheet2"/>
  <dimension ref="A1:M15"/>
  <sheetViews>
    <sheetView workbookViewId="0">
      <selection activeCell="D21" sqref="D21"/>
    </sheetView>
  </sheetViews>
  <sheetFormatPr defaultRowHeight="14.45"/>
  <cols>
    <col min="1" max="1" width="12.28515625" bestFit="1" customWidth="1"/>
    <col min="3" max="3" width="15.85546875" bestFit="1" customWidth="1"/>
    <col min="6" max="6" width="12.5703125" bestFit="1" customWidth="1"/>
    <col min="8" max="8" width="21.140625" bestFit="1" customWidth="1"/>
    <col min="9" max="9" width="21" bestFit="1" customWidth="1"/>
    <col min="10" max="10" width="16.7109375" bestFit="1" customWidth="1"/>
    <col min="12" max="13" width="11.5703125" bestFit="1" customWidth="1"/>
  </cols>
  <sheetData>
    <row r="1" spans="1:13">
      <c r="A1" s="2" t="s">
        <v>24</v>
      </c>
    </row>
    <row r="2" spans="1:13">
      <c r="D2" t="s">
        <v>25</v>
      </c>
      <c r="E2" t="s">
        <v>26</v>
      </c>
      <c r="H2" t="s">
        <v>27</v>
      </c>
      <c r="M2" t="s">
        <v>28</v>
      </c>
    </row>
    <row r="3" spans="1:13">
      <c r="D3">
        <f>'Loan Calculator'!B3</f>
        <v>30</v>
      </c>
      <c r="H3" s="13">
        <f>'Loan Calculator'!I3/12</f>
        <v>5.8333333333333336E-3</v>
      </c>
    </row>
    <row r="4" spans="1:13">
      <c r="C4" t="s">
        <v>29</v>
      </c>
      <c r="D4">
        <f>D3*12</f>
        <v>360</v>
      </c>
      <c r="E4">
        <f>'Loan Calculator'!B4</f>
        <v>0</v>
      </c>
      <c r="F4">
        <f>D4+E4</f>
        <v>360</v>
      </c>
    </row>
    <row r="5" spans="1:13">
      <c r="F5" t="s">
        <v>30</v>
      </c>
    </row>
    <row r="7" spans="1:13">
      <c r="H7" t="s">
        <v>31</v>
      </c>
      <c r="I7" t="s">
        <v>32</v>
      </c>
      <c r="J7" t="s">
        <v>33</v>
      </c>
    </row>
    <row r="8" spans="1:13">
      <c r="H8" s="15">
        <f>'Loan Calculator'!F3*calcs!J11</f>
        <v>1663.2562379479566</v>
      </c>
      <c r="I8" s="13">
        <f>H3*(1+H3)^F4</f>
        <v>4.7346235272931365E-2</v>
      </c>
      <c r="J8" s="14">
        <f>(1+H3)^F4-1</f>
        <v>7.1164974753596617</v>
      </c>
    </row>
    <row r="10" spans="1:13">
      <c r="J10" t="s">
        <v>34</v>
      </c>
    </row>
    <row r="11" spans="1:13">
      <c r="J11">
        <f>I8/J8</f>
        <v>6.6530249517918263E-3</v>
      </c>
    </row>
    <row r="14" spans="1:13">
      <c r="H14" t="s">
        <v>35</v>
      </c>
      <c r="I14" t="s">
        <v>36</v>
      </c>
    </row>
    <row r="15" spans="1:13">
      <c r="H15" s="15">
        <f>H8-I15</f>
        <v>1458.3333333333335</v>
      </c>
      <c r="I15" s="15">
        <f>H8-('Loan Calculator'!F3*calcs!H3)</f>
        <v>204.92290461462312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 2</dc:creator>
  <cp:keywords/>
  <dc:description/>
  <cp:lastModifiedBy>E 2</cp:lastModifiedBy>
  <cp:revision/>
  <dcterms:created xsi:type="dcterms:W3CDTF">2024-06-06T14:18:18Z</dcterms:created>
  <dcterms:modified xsi:type="dcterms:W3CDTF">2026-06-15T16:27:03Z</dcterms:modified>
  <cp:category/>
  <cp:contentStatus/>
</cp:coreProperties>
</file>